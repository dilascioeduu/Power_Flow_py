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do\OneDrive\Área de Trabalho\Faculdade\9° Período\Power_Flow\"/>
    </mc:Choice>
  </mc:AlternateContent>
  <xr:revisionPtr revIDLastSave="0" documentId="13_ncr:1_{95596D88-076B-4930-9B40-8F0D362D8918}" xr6:coauthVersionLast="47" xr6:coauthVersionMax="47" xr10:uidLastSave="{00000000-0000-0000-0000-000000000000}"/>
  <bookViews>
    <workbookView xWindow="-108" yWindow="-108" windowWidth="23256" windowHeight="12456" xr2:uid="{C8F41BC3-A768-433B-81E9-7173A2FEDAC6}"/>
  </bookViews>
  <sheets>
    <sheet name="Barras" sheetId="1" r:id="rId1"/>
    <sheet name="Linhas" sheetId="2" r:id="rId2"/>
    <sheet name="Ohms2Pu" sheetId="3" r:id="rId3"/>
    <sheet name="Planilha2" sheetId="4" r:id="rId4"/>
    <sheet name="Planilha3" sheetId="5" r:id="rId5"/>
    <sheet name="Planilha4" sheetId="6" r:id="rId6"/>
  </sheets>
  <definedNames>
    <definedName name="DadosExternos_1" localSheetId="4" hidden="1">Planilha3!$A$1:$G$15</definedName>
    <definedName name="DadosExternos_2" localSheetId="4" hidden="1">Planilha3!$I$1:$N$21</definedName>
    <definedName name="DadosExternos_3" localSheetId="4" hidden="1">Planilha3!$P$1:$R$4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4  Page 3_87e9b10f-f652-40f1-ac5a-7420cc50ed6b" name="Table004  Page 3" connection="Consulta - Table004 (Page 3)"/>
          <x15:modelTable id="Table005  Page 4_9716297b-fa53-4d18-a910-25bcb8045ad1" name="Table005  Page 4" connection="Consulta - Table005 (Page 4)"/>
          <x15:modelTable id="Table006  Page 5_fc73c023-70e7-42bb-a4b7-30fa012cea50" name="Table006  Page 5" connection="Consulta - Table006 (Page 5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4" i="1"/>
  <c r="F21" i="2"/>
  <c r="F20" i="2"/>
  <c r="F19" i="2"/>
  <c r="F18" i="2"/>
  <c r="F17" i="2"/>
  <c r="F16" i="2"/>
  <c r="F15" i="2"/>
  <c r="F14" i="2"/>
  <c r="F13" i="2"/>
  <c r="F11" i="2"/>
  <c r="F8" i="2"/>
  <c r="F7" i="2"/>
  <c r="F6" i="2"/>
  <c r="F5" i="2"/>
  <c r="F4" i="2"/>
  <c r="F3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" i="2"/>
  <c r="A16" i="2"/>
  <c r="A17" i="2"/>
  <c r="A18" i="2"/>
  <c r="A19" i="2"/>
  <c r="A20" i="2"/>
  <c r="A21" i="2"/>
  <c r="A10" i="2"/>
  <c r="A11" i="2"/>
  <c r="A12" i="2"/>
  <c r="A13" i="2"/>
  <c r="A14" i="2"/>
  <c r="A15" i="2"/>
  <c r="A5" i="2"/>
  <c r="A6" i="2"/>
  <c r="A7" i="2"/>
  <c r="A8" i="2"/>
  <c r="A9" i="2"/>
  <c r="A4" i="2"/>
  <c r="A3" i="2"/>
  <c r="A2" i="2"/>
  <c r="H6" i="1"/>
  <c r="H7" i="1"/>
  <c r="H8" i="1"/>
  <c r="H9" i="1"/>
  <c r="H10" i="1"/>
  <c r="H11" i="1"/>
  <c r="H12" i="1"/>
  <c r="H13" i="1"/>
  <c r="H14" i="1"/>
  <c r="H1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D2" i="1"/>
  <c r="C3" i="1"/>
  <c r="C4" i="1"/>
  <c r="C7" i="1"/>
  <c r="C9" i="1"/>
  <c r="C2" i="1"/>
  <c r="B4" i="1"/>
  <c r="B5" i="1"/>
  <c r="B6" i="1"/>
  <c r="B7" i="1"/>
  <c r="B8" i="1"/>
  <c r="B9" i="1"/>
  <c r="B10" i="1"/>
  <c r="B11" i="1"/>
  <c r="B12" i="1"/>
  <c r="B13" i="1"/>
  <c r="B14" i="1"/>
  <c r="B15" i="1"/>
  <c r="B3" i="1"/>
  <c r="B2" i="1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3" i="6"/>
  <c r="AI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3" i="6"/>
  <c r="AH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3" i="6"/>
  <c r="AG2" i="6"/>
  <c r="AF4" i="6"/>
  <c r="AF5" i="6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3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4" i="6"/>
  <c r="AE3" i="6"/>
  <c r="AF2" i="6"/>
  <c r="AE2" i="6"/>
  <c r="AC3" i="6"/>
  <c r="AC4" i="6"/>
  <c r="AC5" i="6"/>
  <c r="AC6" i="6"/>
  <c r="AC7" i="6"/>
  <c r="AC8" i="6"/>
  <c r="AC9" i="6"/>
  <c r="AC10" i="6"/>
  <c r="AC11" i="6"/>
  <c r="AC12" i="6"/>
  <c r="AC13" i="6"/>
  <c r="AC14" i="6"/>
  <c r="AC15" i="6"/>
  <c r="AC2" i="6"/>
  <c r="AB3" i="6"/>
  <c r="AB4" i="6"/>
  <c r="AB5" i="6"/>
  <c r="AB6" i="6"/>
  <c r="AB7" i="6"/>
  <c r="AB8" i="6"/>
  <c r="AB9" i="6"/>
  <c r="AB10" i="6"/>
  <c r="AB11" i="6"/>
  <c r="AB12" i="6"/>
  <c r="AB13" i="6"/>
  <c r="AB14" i="6"/>
  <c r="AB15" i="6"/>
  <c r="AB2" i="6"/>
  <c r="AA3" i="6"/>
  <c r="AA4" i="6"/>
  <c r="AA5" i="6"/>
  <c r="AA6" i="6"/>
  <c r="AA7" i="6"/>
  <c r="AA8" i="6"/>
  <c r="AA9" i="6"/>
  <c r="AA10" i="6"/>
  <c r="AA11" i="6"/>
  <c r="AA12" i="6"/>
  <c r="AA13" i="6"/>
  <c r="AA14" i="6"/>
  <c r="AA15" i="6"/>
  <c r="AA2" i="6"/>
  <c r="Z3" i="6"/>
  <c r="Z4" i="6"/>
  <c r="Z5" i="6"/>
  <c r="Z6" i="6"/>
  <c r="Z7" i="6"/>
  <c r="Z8" i="6"/>
  <c r="Z9" i="6"/>
  <c r="Z10" i="6"/>
  <c r="Z11" i="6"/>
  <c r="Z12" i="6"/>
  <c r="Z13" i="6"/>
  <c r="Z14" i="6"/>
  <c r="Z15" i="6"/>
  <c r="Z2" i="6"/>
  <c r="Y3" i="6"/>
  <c r="Y4" i="6"/>
  <c r="Y5" i="6"/>
  <c r="Y6" i="6"/>
  <c r="Y7" i="6"/>
  <c r="Y8" i="6"/>
  <c r="Y9" i="6"/>
  <c r="Y10" i="6"/>
  <c r="Y11" i="6"/>
  <c r="Y12" i="6"/>
  <c r="Y13" i="6"/>
  <c r="Y14" i="6"/>
  <c r="Y15" i="6"/>
  <c r="Y2" i="6"/>
  <c r="X3" i="6"/>
  <c r="X4" i="6"/>
  <c r="X5" i="6"/>
  <c r="X6" i="6"/>
  <c r="X7" i="6"/>
  <c r="X8" i="6"/>
  <c r="X9" i="6"/>
  <c r="X10" i="6"/>
  <c r="X11" i="6"/>
  <c r="X12" i="6"/>
  <c r="X13" i="6"/>
  <c r="X14" i="6"/>
  <c r="X15" i="6"/>
  <c r="X2" i="6"/>
  <c r="W3" i="6"/>
  <c r="W4" i="6"/>
  <c r="W5" i="6"/>
  <c r="W6" i="6"/>
  <c r="W7" i="6"/>
  <c r="W8" i="6"/>
  <c r="W9" i="6"/>
  <c r="W10" i="6"/>
  <c r="W11" i="6"/>
  <c r="W12" i="6"/>
  <c r="W13" i="6"/>
  <c r="W14" i="6"/>
  <c r="W15" i="6"/>
  <c r="W2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3" i="6"/>
  <c r="U3" i="5"/>
  <c r="U4" i="5"/>
  <c r="U5" i="5"/>
  <c r="U6" i="5"/>
  <c r="U7" i="5"/>
  <c r="U8" i="5"/>
  <c r="U9" i="5"/>
  <c r="U10" i="5"/>
  <c r="U11" i="5"/>
  <c r="U12" i="5"/>
  <c r="U13" i="5"/>
  <c r="U14" i="5"/>
  <c r="U15" i="5"/>
  <c r="U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3" i="5"/>
  <c r="M2" i="5"/>
  <c r="L21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6" i="5"/>
  <c r="L5" i="5"/>
  <c r="L4" i="5"/>
  <c r="L3" i="5"/>
  <c r="AA15" i="5"/>
  <c r="Z15" i="5"/>
  <c r="Y15" i="5"/>
  <c r="X15" i="5"/>
  <c r="W15" i="5"/>
  <c r="V15" i="5"/>
  <c r="AA14" i="5"/>
  <c r="Z14" i="5"/>
  <c r="Y14" i="5"/>
  <c r="X14" i="5"/>
  <c r="W14" i="5"/>
  <c r="V14" i="5"/>
  <c r="AA13" i="5"/>
  <c r="Z13" i="5"/>
  <c r="Y13" i="5"/>
  <c r="X13" i="5"/>
  <c r="W13" i="5"/>
  <c r="V13" i="5"/>
  <c r="AA12" i="5"/>
  <c r="Z12" i="5"/>
  <c r="Y12" i="5"/>
  <c r="X12" i="5"/>
  <c r="W12" i="5"/>
  <c r="V12" i="5"/>
  <c r="AA11" i="5"/>
  <c r="Z11" i="5"/>
  <c r="Y11" i="5"/>
  <c r="X11" i="5"/>
  <c r="W11" i="5"/>
  <c r="V11" i="5"/>
  <c r="AA10" i="5"/>
  <c r="Z10" i="5"/>
  <c r="Y10" i="5"/>
  <c r="X10" i="5"/>
  <c r="W10" i="5"/>
  <c r="V10" i="5"/>
  <c r="AA9" i="5"/>
  <c r="Z9" i="5"/>
  <c r="Y9" i="5"/>
  <c r="X9" i="5"/>
  <c r="W9" i="5"/>
  <c r="V9" i="5"/>
  <c r="AA8" i="5"/>
  <c r="Z8" i="5"/>
  <c r="Y8" i="5"/>
  <c r="X8" i="5"/>
  <c r="W8" i="5"/>
  <c r="V8" i="5"/>
  <c r="AA7" i="5"/>
  <c r="Z7" i="5"/>
  <c r="Y7" i="5"/>
  <c r="X7" i="5"/>
  <c r="W7" i="5"/>
  <c r="V7" i="5"/>
  <c r="AA6" i="5"/>
  <c r="Z6" i="5"/>
  <c r="Y6" i="5"/>
  <c r="X6" i="5"/>
  <c r="W6" i="5"/>
  <c r="V6" i="5"/>
  <c r="AA5" i="5"/>
  <c r="Z5" i="5"/>
  <c r="Y5" i="5"/>
  <c r="X5" i="5"/>
  <c r="W5" i="5"/>
  <c r="V5" i="5"/>
  <c r="AA4" i="5"/>
  <c r="Z4" i="5"/>
  <c r="Y4" i="5"/>
  <c r="X4" i="5"/>
  <c r="W4" i="5"/>
  <c r="V4" i="5"/>
  <c r="AA3" i="5"/>
  <c r="Z3" i="5"/>
  <c r="Y3" i="5"/>
  <c r="X3" i="5"/>
  <c r="W3" i="5"/>
  <c r="V3" i="5"/>
  <c r="AA2" i="5"/>
  <c r="Z2" i="5"/>
  <c r="Y2" i="5"/>
  <c r="X2" i="5"/>
  <c r="W2" i="5"/>
  <c r="V2" i="5"/>
  <c r="AH3" i="4"/>
  <c r="AH4" i="4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" i="4"/>
  <c r="AG3" i="4"/>
  <c r="AG4" i="4"/>
  <c r="AG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" i="4"/>
  <c r="AF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2" i="4"/>
  <c r="Y3" i="4"/>
  <c r="Y4" i="4"/>
  <c r="Y5" i="4"/>
  <c r="Y6" i="4"/>
  <c r="Y7" i="4"/>
  <c r="Y8" i="4"/>
  <c r="Y9" i="4"/>
  <c r="Y10" i="4"/>
  <c r="Y11" i="4"/>
  <c r="Y12" i="4"/>
  <c r="Y13" i="4"/>
  <c r="Y14" i="4"/>
  <c r="Y15" i="4"/>
  <c r="Y2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2" i="4"/>
  <c r="T5" i="4"/>
  <c r="T3" i="4"/>
  <c r="T2" i="4"/>
  <c r="T4" i="4"/>
  <c r="T6" i="4"/>
  <c r="T7" i="4"/>
  <c r="T8" i="4"/>
  <c r="T9" i="4"/>
  <c r="T10" i="4"/>
  <c r="T11" i="4"/>
  <c r="T12" i="4"/>
  <c r="T13" i="4"/>
  <c r="T14" i="4"/>
  <c r="T15" i="4"/>
  <c r="E5" i="3"/>
  <c r="D2" i="3"/>
  <c r="J2" i="3" s="1"/>
  <c r="I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2EF6ED-C265-40B7-8535-D150BFD01BB6}" name="Consulta - Table004 (Page 3)" description="Conexão com a consulta 'Table004 (Page 3)' na pasta de trabalho." type="100" refreshedVersion="8" minRefreshableVersion="5">
    <extLst>
      <ext xmlns:x15="http://schemas.microsoft.com/office/spreadsheetml/2010/11/main" uri="{DE250136-89BD-433C-8126-D09CA5730AF9}">
        <x15:connection id="a6626905-05c9-4f29-8cef-1ea88cd82c5d"/>
      </ext>
    </extLst>
  </connection>
  <connection id="2" xr16:uid="{8E88AC93-F9DA-4C5F-B3CA-568403B674C0}" name="Consulta - Table005 (Page 4)" description="Conexão com a consulta 'Table005 (Page 4)' na pasta de trabalho." type="100" refreshedVersion="8" minRefreshableVersion="5">
    <extLst>
      <ext xmlns:x15="http://schemas.microsoft.com/office/spreadsheetml/2010/11/main" uri="{DE250136-89BD-433C-8126-D09CA5730AF9}">
        <x15:connection id="3c969a8b-533b-4ff1-a3d5-2c01c024dacb"/>
      </ext>
    </extLst>
  </connection>
  <connection id="3" xr16:uid="{4FECDF91-CF0E-423D-B6C2-729A6F20FD23}" name="Consulta - Table006 (Page 5)" description="Conexão com a consulta 'Table006 (Page 5)' na pasta de trabalho." type="100" refreshedVersion="8" minRefreshableVersion="5">
    <extLst>
      <ext xmlns:x15="http://schemas.microsoft.com/office/spreadsheetml/2010/11/main" uri="{DE250136-89BD-433C-8126-D09CA5730AF9}">
        <x15:connection id="0f5e1025-03d8-4dfd-aa54-a2b32e05e589">
          <x15:oledbPr connection="Provider=Microsoft.Mashup.OleDb.1;Data Source=$Workbook$;Location=&quot;Table006 (Page 5)&quot;;Extended Properties=&quot;&quot;">
            <x15:dbTables>
              <x15:dbTable name="Table006 (Page 5)"/>
            </x15:dbTables>
          </x15:oledbPr>
        </x15:connection>
      </ext>
    </extLst>
  </connection>
  <connection id="4" xr16:uid="{DD1A37FD-BC8C-4802-9D71-77646B198033}" keepAlive="1" name="ModelConnection_DadosExternos_1" description="Modelo de Dados" type="5" refreshedVersion="8" minRefreshableVersion="5" saveData="1">
    <dbPr connection="Data Model Connection" command="Table004  Page 3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4626EB19-897B-4716-B557-58FA91CA3025}" keepAlive="1" name="ModelConnection_DadosExternos_2" description="Modelo de Dados" type="5" refreshedVersion="8" minRefreshableVersion="5" saveData="1">
    <dbPr connection="Data Model Connection" command="Table005  Page 4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47044060-C855-4E76-AB26-10FF1DF8CFD3}" keepAlive="1" name="ModelConnection_DadosExternos_3" description="Modelo de Dados" type="5" refreshedVersion="8" minRefreshableVersion="5" saveData="1">
    <dbPr connection="Data Model Connection" command="Table006  Page 5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D347DE13-8228-47B6-A87C-70D060D0F237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<sst xmlns="http://schemas.openxmlformats.org/spreadsheetml/2006/main" count="349" uniqueCount="247">
  <si>
    <t>V_pu</t>
  </si>
  <si>
    <t>R_pu</t>
  </si>
  <si>
    <t>X_pu</t>
  </si>
  <si>
    <t>B_pu</t>
  </si>
  <si>
    <t>Bus_No</t>
  </si>
  <si>
    <t>Bus_Code</t>
  </si>
  <si>
    <t>Gen_MW</t>
  </si>
  <si>
    <t>Gen_Mvar</t>
  </si>
  <si>
    <t>Load_MW</t>
  </si>
  <si>
    <t>Load_Mvar</t>
  </si>
  <si>
    <t>From_Bus</t>
  </si>
  <si>
    <t>To_Bus</t>
  </si>
  <si>
    <t>V_th</t>
  </si>
  <si>
    <t>S_base</t>
  </si>
  <si>
    <t>V_base</t>
  </si>
  <si>
    <t>Z_base</t>
  </si>
  <si>
    <t>R_ohm</t>
  </si>
  <si>
    <t>X_ohm</t>
  </si>
  <si>
    <t>Z_ohm</t>
  </si>
  <si>
    <t>From</t>
  </si>
  <si>
    <t>To</t>
  </si>
  <si>
    <t>Tap_pu</t>
  </si>
  <si>
    <t>Bus</t>
  </si>
  <si>
    <t>Bus Voltage </t>
  </si>
  <si>
    <t>Generation </t>
  </si>
  <si>
    <t>Load </t>
  </si>
  <si>
    <t>Magnitude Per Unit </t>
  </si>
  <si>
    <t>Phase Angle Degrees </t>
  </si>
  <si>
    <t>Real  </t>
  </si>
  <si>
    <t>MW </t>
  </si>
  <si>
    <t>Reactive  MVAR </t>
  </si>
  <si>
    <t>/</t>
  </si>
  <si>
    <t>1 </t>
  </si>
  <si>
    <t>1.060 </t>
  </si>
  <si>
    <t>232.4 </t>
  </si>
  <si>
    <t>- 16.9 </t>
  </si>
  <si>
    <t>2 </t>
  </si>
  <si>
    <t>1.045 </t>
  </si>
  <si>
    <t>40.0 </t>
  </si>
  <si>
    <t>42.4 </t>
  </si>
  <si>
    <t>21.7 </t>
  </si>
  <si>
    <t>12.7 </t>
  </si>
  <si>
    <t>3 </t>
  </si>
  <si>
    <t>1.010 </t>
  </si>
  <si>
    <t>23.4 </t>
  </si>
  <si>
    <t>94.2 </t>
  </si>
  <si>
    <t>19.0 </t>
  </si>
  <si>
    <t>4 </t>
  </si>
  <si>
    <t>1.019 </t>
  </si>
  <si>
    <t>- 10.33 </t>
  </si>
  <si>
    <t>47.8 </t>
  </si>
  <si>
    <t>3.9 </t>
  </si>
  <si>
    <t>5 </t>
  </si>
  <si>
    <t>1.020 </t>
  </si>
  <si>
    <t>- 8.78 </t>
  </si>
  <si>
    <t>7.6 </t>
  </si>
  <si>
    <t>1.6 </t>
  </si>
  <si>
    <t>6 </t>
  </si>
  <si>
    <t>1.070 </t>
  </si>
  <si>
    <t>- 14.22 </t>
  </si>
  <si>
    <t>12.2 </t>
  </si>
  <si>
    <t>11.2 </t>
  </si>
  <si>
    <t>7.5 </t>
  </si>
  <si>
    <t>7 </t>
  </si>
  <si>
    <t>1.062 </t>
  </si>
  <si>
    <t>- 13.37 </t>
  </si>
  <si>
    <t>8 </t>
  </si>
  <si>
    <t>1.090 </t>
  </si>
  <si>
    <t>- 13.36 </t>
  </si>
  <si>
    <t>17.4 </t>
  </si>
  <si>
    <t>9 </t>
  </si>
  <si>
    <t>1.056 </t>
  </si>
  <si>
    <t>- 14.94 </t>
  </si>
  <si>
    <t>29.5 </t>
  </si>
  <si>
    <t>16.6 </t>
  </si>
  <si>
    <t>10 </t>
  </si>
  <si>
    <t>1.051 </t>
  </si>
  <si>
    <t>- 15.10 </t>
  </si>
  <si>
    <t>9.0 </t>
  </si>
  <si>
    <t>5.8 </t>
  </si>
  <si>
    <t>11 </t>
  </si>
  <si>
    <t>1.057 </t>
  </si>
  <si>
    <t>- 14.79 </t>
  </si>
  <si>
    <t>3.5 </t>
  </si>
  <si>
    <t>1.8 </t>
  </si>
  <si>
    <t>12 </t>
  </si>
  <si>
    <t>1.055 </t>
  </si>
  <si>
    <t>- 18.07 </t>
  </si>
  <si>
    <t>6.1 </t>
  </si>
  <si>
    <t>13 </t>
  </si>
  <si>
    <t>1.050 </t>
  </si>
  <si>
    <t>- 15.16 </t>
  </si>
  <si>
    <t>13.5 </t>
  </si>
  <si>
    <t>14 </t>
  </si>
  <si>
    <t>1.036 </t>
  </si>
  <si>
    <t>- 16.04 </t>
  </si>
  <si>
    <t>14.9 </t>
  </si>
  <si>
    <t>5.0 </t>
  </si>
  <si>
    <t>Line  </t>
  </si>
  <si>
    <t>No </t>
  </si>
  <si>
    <t>Between  Buses </t>
  </si>
  <si>
    <t>Line impedance </t>
  </si>
  <si>
    <t>Half Line Charging  Susceptance per unit </t>
  </si>
  <si>
    <t>R per unit </t>
  </si>
  <si>
    <t>X per unit </t>
  </si>
  <si>
    <t>1 – 2 </t>
  </si>
  <si>
    <t>0.01938 </t>
  </si>
  <si>
    <t>0.05917 </t>
  </si>
  <si>
    <t>2 – 3 </t>
  </si>
  <si>
    <t>0.04699 </t>
  </si>
  <si>
    <t>0.19797 </t>
  </si>
  <si>
    <t>2 – 4 </t>
  </si>
  <si>
    <t>0.05811 </t>
  </si>
  <si>
    <t>0.17632 </t>
  </si>
  <si>
    <t>1 – 5 </t>
  </si>
  <si>
    <t>0.05403 </t>
  </si>
  <si>
    <t>0.22304 </t>
  </si>
  <si>
    <t>2 – 5 </t>
  </si>
  <si>
    <t>0.05695 </t>
  </si>
  <si>
    <t>0.17388 </t>
  </si>
  <si>
    <t>3 – 4 </t>
  </si>
  <si>
    <t>0.06701 </t>
  </si>
  <si>
    <t>0.17103 </t>
  </si>
  <si>
    <t>4 – 5 </t>
  </si>
  <si>
    <t>0.01335 </t>
  </si>
  <si>
    <t>0.04211 </t>
  </si>
  <si>
    <t>5 – 6 </t>
  </si>
  <si>
    <t>0.25202 </t>
  </si>
  <si>
    <t>4 – 7 </t>
  </si>
  <si>
    <t>0.20912 </t>
  </si>
  <si>
    <t>7 – 8 </t>
  </si>
  <si>
    <t>0.17615 </t>
  </si>
  <si>
    <t>4 – 9 </t>
  </si>
  <si>
    <t>0.55618 </t>
  </si>
  <si>
    <t>7 – 9 </t>
  </si>
  <si>
    <t>0.11001 </t>
  </si>
  <si>
    <t>9 – 10 </t>
  </si>
  <si>
    <t>0.03181 </t>
  </si>
  <si>
    <t>0.08450 </t>
  </si>
  <si>
    <t>6 – 11 </t>
  </si>
  <si>
    <t>0.09498 </t>
  </si>
  <si>
    <t>0.19890 </t>
  </si>
  <si>
    <t>15 </t>
  </si>
  <si>
    <t>6 – 12 </t>
  </si>
  <si>
    <t>0.12291 </t>
  </si>
  <si>
    <t>0.25581 </t>
  </si>
  <si>
    <t>16 </t>
  </si>
  <si>
    <t>6 – 13 </t>
  </si>
  <si>
    <t>0.06615 </t>
  </si>
  <si>
    <t>0.13027 </t>
  </si>
  <si>
    <t>17 </t>
  </si>
  <si>
    <t>9 – 14 </t>
  </si>
  <si>
    <t>0.12711 </t>
  </si>
  <si>
    <t>0.27038 </t>
  </si>
  <si>
    <t>18 </t>
  </si>
  <si>
    <t>10 – 11 </t>
  </si>
  <si>
    <t>0.8205 </t>
  </si>
  <si>
    <t>0.19207 </t>
  </si>
  <si>
    <t>19 </t>
  </si>
  <si>
    <t>12 – 13 </t>
  </si>
  <si>
    <t>0.22092 </t>
  </si>
  <si>
    <t>0.19988 </t>
  </si>
  <si>
    <t>20 </t>
  </si>
  <si>
    <t>13 – 14 </t>
  </si>
  <si>
    <t>0.17093 </t>
  </si>
  <si>
    <t>0.34802 </t>
  </si>
  <si>
    <t>Transformer </t>
  </si>
  <si>
    <t>Between Buses </t>
  </si>
  <si>
    <t>Tap Setting </t>
  </si>
  <si>
    <t>4 - 7 </t>
  </si>
  <si>
    <t>0.978 </t>
  </si>
  <si>
    <t>4 - 9 </t>
  </si>
  <si>
    <t>0.969 </t>
  </si>
  <si>
    <t>5 - 6 </t>
  </si>
  <si>
    <t>0.932 </t>
  </si>
  <si>
    <t>-12.72 </t>
  </si>
  <si>
    <t>0.0</t>
  </si>
  <si>
    <t>232.4</t>
  </si>
  <si>
    <t>40.0</t>
  </si>
  <si>
    <t>42.4</t>
  </si>
  <si>
    <t>21.7</t>
  </si>
  <si>
    <t>12.7</t>
  </si>
  <si>
    <t>23.4</t>
  </si>
  <si>
    <t>94.2</t>
  </si>
  <si>
    <t>19.0</t>
  </si>
  <si>
    <t>47.8</t>
  </si>
  <si>
    <t>3.9</t>
  </si>
  <si>
    <t>7.6</t>
  </si>
  <si>
    <t>1.6</t>
  </si>
  <si>
    <t>12.2</t>
  </si>
  <si>
    <t>11.2</t>
  </si>
  <si>
    <t>7.5</t>
  </si>
  <si>
    <t>17.4</t>
  </si>
  <si>
    <t>29.5</t>
  </si>
  <si>
    <t>16.6</t>
  </si>
  <si>
    <t>9.0</t>
  </si>
  <si>
    <t>5.8</t>
  </si>
  <si>
    <t>3.5</t>
  </si>
  <si>
    <t>1.8</t>
  </si>
  <si>
    <t>6.1</t>
  </si>
  <si>
    <t>13.5</t>
  </si>
  <si>
    <t>14.9</t>
  </si>
  <si>
    <t>5.0</t>
  </si>
  <si>
    <t>Transformer</t>
  </si>
  <si>
    <t>Between Buses</t>
  </si>
  <si>
    <t>Tap Setting</t>
  </si>
  <si>
    <t>5-6</t>
  </si>
  <si>
    <t>-16.9</t>
  </si>
  <si>
    <t>-4.98</t>
  </si>
  <si>
    <t>-12.72</t>
  </si>
  <si>
    <t>-10.33</t>
  </si>
  <si>
    <t>-8.78</t>
  </si>
  <si>
    <t>-14.22</t>
  </si>
  <si>
    <t>-13.37</t>
  </si>
  <si>
    <t>-13.36</t>
  </si>
  <si>
    <t>-14.94</t>
  </si>
  <si>
    <t>-15.10</t>
  </si>
  <si>
    <t>-14.79</t>
  </si>
  <si>
    <t>-18.07</t>
  </si>
  <si>
    <t>-15.16</t>
  </si>
  <si>
    <t>-16.04</t>
  </si>
  <si>
    <t>Line No</t>
  </si>
  <si>
    <t>B_pu/2</t>
  </si>
  <si>
    <t>4-7</t>
  </si>
  <si>
    <t>4-9 </t>
  </si>
  <si>
    <t>Deg</t>
  </si>
  <si>
    <r>
      <rPr>
        <b/>
        <sz val="12"/>
        <rFont val="Times New Roman"/>
        <family val="1"/>
      </rPr>
      <t>Bus No.</t>
    </r>
  </si>
  <si>
    <r>
      <rPr>
        <b/>
        <sz val="12"/>
        <rFont val="Times New Roman"/>
        <family val="1"/>
      </rPr>
      <t>Bus Voltage</t>
    </r>
  </si>
  <si>
    <r>
      <rPr>
        <b/>
        <sz val="12"/>
        <rFont val="Times New Roman"/>
        <family val="1"/>
      </rPr>
      <t>Generation</t>
    </r>
  </si>
  <si>
    <r>
      <rPr>
        <b/>
        <sz val="12"/>
        <rFont val="Times New Roman"/>
        <family val="1"/>
      </rPr>
      <t>Load</t>
    </r>
  </si>
  <si>
    <r>
      <rPr>
        <b/>
        <sz val="12"/>
        <rFont val="Times New Roman"/>
        <family val="1"/>
      </rPr>
      <t xml:space="preserve">Magnitude
</t>
    </r>
    <r>
      <rPr>
        <b/>
        <sz val="12"/>
        <rFont val="Times New Roman"/>
        <family val="1"/>
      </rPr>
      <t>Per Unit</t>
    </r>
  </si>
  <si>
    <r>
      <rPr>
        <b/>
        <sz val="12"/>
        <rFont val="Times New Roman"/>
        <family val="1"/>
      </rPr>
      <t xml:space="preserve">Phase Angle
</t>
    </r>
    <r>
      <rPr>
        <b/>
        <sz val="12"/>
        <rFont val="Times New Roman"/>
        <family val="1"/>
      </rPr>
      <t>Degrees</t>
    </r>
  </si>
  <si>
    <r>
      <rPr>
        <b/>
        <sz val="12"/>
        <rFont val="Times New Roman"/>
        <family val="1"/>
      </rPr>
      <t>Real MW</t>
    </r>
  </si>
  <si>
    <r>
      <rPr>
        <b/>
        <sz val="12"/>
        <rFont val="Times New Roman"/>
        <family val="1"/>
      </rPr>
      <t>Reactive MVAR</t>
    </r>
  </si>
  <si>
    <r>
      <rPr>
        <b/>
        <sz val="12"/>
        <rFont val="Times New Roman"/>
        <family val="1"/>
      </rPr>
      <t xml:space="preserve">Real
</t>
    </r>
    <r>
      <rPr>
        <b/>
        <sz val="12"/>
        <rFont val="Times New Roman"/>
        <family val="1"/>
      </rPr>
      <t>MW</t>
    </r>
  </si>
  <si>
    <r>
      <rPr>
        <b/>
        <sz val="12"/>
        <rFont val="Times New Roman"/>
        <family val="1"/>
      </rPr>
      <t>Line No</t>
    </r>
  </si>
  <si>
    <r>
      <rPr>
        <b/>
        <sz val="12"/>
        <rFont val="Times New Roman"/>
        <family val="1"/>
      </rPr>
      <t xml:space="preserve">Between
</t>
    </r>
    <r>
      <rPr>
        <b/>
        <sz val="12"/>
        <rFont val="Times New Roman"/>
        <family val="1"/>
      </rPr>
      <t>Buses</t>
    </r>
  </si>
  <si>
    <r>
      <rPr>
        <b/>
        <sz val="12"/>
        <rFont val="Times New Roman"/>
        <family val="1"/>
      </rPr>
      <t>Line impedance</t>
    </r>
  </si>
  <si>
    <r>
      <rPr>
        <b/>
        <sz val="12"/>
        <rFont val="Times New Roman"/>
        <family val="1"/>
      </rPr>
      <t>R per unit</t>
    </r>
  </si>
  <si>
    <r>
      <rPr>
        <b/>
        <sz val="12"/>
        <rFont val="Times New Roman"/>
        <family val="1"/>
      </rPr>
      <t>X per unit</t>
    </r>
  </si>
  <si>
    <t>Line Charging Susceptance per unit</t>
  </si>
  <si>
    <r>
      <rPr>
        <b/>
        <sz val="12"/>
        <rFont val="Times New Roman"/>
        <family val="1"/>
      </rPr>
      <t>Transformer</t>
    </r>
  </si>
  <si>
    <r>
      <rPr>
        <b/>
        <sz val="12"/>
        <rFont val="Times New Roman"/>
        <family val="1"/>
      </rPr>
      <t>Between Buses</t>
    </r>
  </si>
  <si>
    <r>
      <rPr>
        <b/>
        <sz val="12"/>
        <rFont val="Times New Roman"/>
        <family val="1"/>
      </rPr>
      <t>Tap Setting</t>
    </r>
  </si>
  <si>
    <r>
      <rPr>
        <sz val="12"/>
        <rFont val="Times New Roman"/>
        <family val="1"/>
      </rPr>
      <t>4 - 7</t>
    </r>
  </si>
  <si>
    <r>
      <rPr>
        <sz val="12"/>
        <rFont val="Times New Roman"/>
        <family val="1"/>
      </rPr>
      <t>4 - 9</t>
    </r>
  </si>
  <si>
    <r>
      <rPr>
        <sz val="12"/>
        <rFont val="Times New Roman"/>
        <family val="1"/>
      </rPr>
      <t>5 - 6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</si>
</sst>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0.00000E+00"/>
    <numFmt numFmtId="165" formatCode="0.000"/>
    <numFmt numFmtId="166" formatCode="0.0000"/>
    <numFmt numFmtId="167" formatCode="0.00000"/>
    <numFmt numFmtId="168" formatCode="0.000000"/>
    <numFmt numFmtId="169" formatCode="0.0"/>
  </numFmts>
  <fonts count="10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b/>
      <sz val="12.15"/>
      <color rgb="FF000000"/>
      <name val="Times New Roman"/>
      <family val="1"/>
    </font>
    <font>
      <sz val="12.15"/>
      <color rgb="FF000000"/>
      <name val="Times New Roman"/>
      <family val="1"/>
    </font>
    <font>
      <b/>
      <sz val="12"/>
      <color rgb="FF1F1F1F"/>
      <name val="Times New Roman"/>
      <family val="1"/>
    </font>
    <font>
      <sz val="8"/>
      <name val="Aptos Narrow"/>
      <family val="2"/>
      <scheme val="minor"/>
    </font>
    <font>
      <b/>
      <sz val="12"/>
      <name val="Times New Roman"/>
      <family val="1"/>
    </font>
    <font>
      <sz val="12"/>
      <color rgb="FF000000"/>
      <name val="Times New Roman"/>
      <family val="2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11" fontId="0" fillId="0" borderId="0" xfId="0" applyNumberFormat="1"/>
    <xf numFmtId="0" fontId="0" fillId="0" borderId="2" xfId="0" applyBorder="1"/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11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center" vertical="center" wrapText="1" readingOrder="1"/>
    </xf>
    <xf numFmtId="2" fontId="0" fillId="0" borderId="0" xfId="0" applyNumberFormat="1" applyAlignment="1">
      <alignment horizontal="center"/>
    </xf>
    <xf numFmtId="2" fontId="4" fillId="0" borderId="1" xfId="0" applyNumberFormat="1" applyFont="1" applyBorder="1" applyAlignment="1">
      <alignment horizontal="center" vertical="center"/>
    </xf>
    <xf numFmtId="2" fontId="4" fillId="0" borderId="1" xfId="0" quotePrefix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7" xfId="0" applyNumberFormat="1" applyBorder="1" applyAlignment="1">
      <alignment horizontal="center"/>
    </xf>
    <xf numFmtId="167" fontId="4" fillId="0" borderId="1" xfId="0" applyNumberFormat="1" applyFont="1" applyBorder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0" fontId="5" fillId="0" borderId="4" xfId="0" applyFont="1" applyBorder="1" applyAlignment="1">
      <alignment horizontal="left" vertical="center" wrapText="1" indent="1" readingOrder="1"/>
    </xf>
    <xf numFmtId="0" fontId="5" fillId="0" borderId="4" xfId="0" applyFont="1" applyBorder="1" applyAlignment="1">
      <alignment vertical="center" wrapText="1" readingOrder="1"/>
    </xf>
    <xf numFmtId="167" fontId="0" fillId="0" borderId="2" xfId="0" applyNumberFormat="1" applyBorder="1" applyAlignment="1">
      <alignment horizontal="center"/>
    </xf>
    <xf numFmtId="1" fontId="4" fillId="0" borderId="3" xfId="0" applyNumberFormat="1" applyFont="1" applyBorder="1" applyAlignment="1">
      <alignment horizontal="center" vertical="center" wrapText="1"/>
    </xf>
    <xf numFmtId="2" fontId="0" fillId="0" borderId="0" xfId="0" applyNumberFormat="1"/>
    <xf numFmtId="49" fontId="0" fillId="0" borderId="0" xfId="0" applyNumberFormat="1" applyAlignment="1">
      <alignment horizontal="center"/>
    </xf>
    <xf numFmtId="2" fontId="0" fillId="0" borderId="0" xfId="0" quotePrefix="1" applyNumberFormat="1"/>
    <xf numFmtId="169" fontId="0" fillId="0" borderId="0" xfId="0" applyNumberFormat="1"/>
    <xf numFmtId="166" fontId="0" fillId="0" borderId="0" xfId="0" applyNumberFormat="1"/>
    <xf numFmtId="166" fontId="0" fillId="4" borderId="0" xfId="0" applyNumberFormat="1" applyFill="1"/>
    <xf numFmtId="166" fontId="0" fillId="0" borderId="8" xfId="0" applyNumberFormat="1" applyBorder="1"/>
    <xf numFmtId="2" fontId="0" fillId="4" borderId="0" xfId="0" applyNumberFormat="1" applyFill="1"/>
    <xf numFmtId="2" fontId="0" fillId="0" borderId="8" xfId="0" applyNumberFormat="1" applyBorder="1"/>
    <xf numFmtId="49" fontId="4" fillId="0" borderId="1" xfId="0" applyNumberFormat="1" applyFont="1" applyBorder="1" applyAlignment="1">
      <alignment horizontal="center" vertical="center" wrapText="1"/>
    </xf>
    <xf numFmtId="168" fontId="0" fillId="0" borderId="0" xfId="0" applyNumberFormat="1"/>
    <xf numFmtId="0" fontId="0" fillId="0" borderId="13" xfId="0" applyBorder="1" applyAlignment="1">
      <alignment horizontal="center" vertical="top" wrapText="1"/>
    </xf>
    <xf numFmtId="0" fontId="7" fillId="0" borderId="13" xfId="0" applyFont="1" applyBorder="1" applyAlignment="1">
      <alignment horizontal="left" vertical="top" wrapText="1" indent="1"/>
    </xf>
    <xf numFmtId="0" fontId="7" fillId="0" borderId="13" xfId="0" applyFont="1" applyBorder="1" applyAlignment="1">
      <alignment horizontal="left" vertical="top" wrapText="1"/>
    </xf>
    <xf numFmtId="0" fontId="0" fillId="0" borderId="13" xfId="0" applyBorder="1" applyAlignment="1">
      <alignment horizontal="left" vertical="top" wrapText="1" indent="2"/>
    </xf>
    <xf numFmtId="1" fontId="8" fillId="0" borderId="13" xfId="0" applyNumberFormat="1" applyFont="1" applyBorder="1" applyAlignment="1">
      <alignment horizontal="center" vertical="top" shrinkToFit="1"/>
    </xf>
    <xf numFmtId="165" fontId="8" fillId="0" borderId="13" xfId="0" applyNumberFormat="1" applyFont="1" applyBorder="1" applyAlignment="1">
      <alignment horizontal="center" vertical="top" shrinkToFit="1"/>
    </xf>
    <xf numFmtId="169" fontId="8" fillId="0" borderId="13" xfId="0" applyNumberFormat="1" applyFont="1" applyBorder="1" applyAlignment="1">
      <alignment horizontal="center" vertical="top" shrinkToFit="1"/>
    </xf>
    <xf numFmtId="2" fontId="8" fillId="0" borderId="13" xfId="0" applyNumberFormat="1" applyFont="1" applyBorder="1" applyAlignment="1">
      <alignment horizontal="center" vertical="top" shrinkToFit="1"/>
    </xf>
    <xf numFmtId="0" fontId="0" fillId="0" borderId="12" xfId="0" applyBorder="1" applyAlignment="1">
      <alignment horizontal="center" vertical="top" wrapText="1"/>
    </xf>
    <xf numFmtId="0" fontId="7" fillId="0" borderId="13" xfId="0" applyFont="1" applyBorder="1" applyAlignment="1">
      <alignment horizontal="right" vertical="top" wrapText="1" indent="1"/>
    </xf>
    <xf numFmtId="0" fontId="7" fillId="0" borderId="13" xfId="0" applyFont="1" applyBorder="1" applyAlignment="1">
      <alignment horizontal="left" vertical="top" wrapText="1" indent="2"/>
    </xf>
    <xf numFmtId="0" fontId="9" fillId="0" borderId="13" xfId="0" applyFont="1" applyBorder="1" applyAlignment="1">
      <alignment horizontal="center" vertical="top" wrapText="1"/>
    </xf>
    <xf numFmtId="167" fontId="8" fillId="0" borderId="13" xfId="0" applyNumberFormat="1" applyFont="1" applyBorder="1" applyAlignment="1">
      <alignment horizontal="right" vertical="top" indent="1" shrinkToFit="1"/>
    </xf>
    <xf numFmtId="167" fontId="8" fillId="0" borderId="13" xfId="0" applyNumberFormat="1" applyFont="1" applyBorder="1" applyAlignment="1">
      <alignment horizontal="left" vertical="top" indent="2" shrinkToFit="1"/>
    </xf>
    <xf numFmtId="167" fontId="8" fillId="0" borderId="13" xfId="0" applyNumberFormat="1" applyFont="1" applyBorder="1" applyAlignment="1">
      <alignment horizontal="left" vertical="top" indent="4" shrinkToFit="1"/>
    </xf>
    <xf numFmtId="166" fontId="8" fillId="0" borderId="13" xfId="0" applyNumberFormat="1" applyFont="1" applyBorder="1" applyAlignment="1">
      <alignment horizontal="left" vertical="top" indent="4" shrinkToFit="1"/>
    </xf>
    <xf numFmtId="169" fontId="8" fillId="0" borderId="13" xfId="0" applyNumberFormat="1" applyFont="1" applyBorder="1" applyAlignment="1">
      <alignment horizontal="left" vertical="top" indent="2" shrinkToFit="1"/>
    </xf>
    <xf numFmtId="169" fontId="8" fillId="0" borderId="13" xfId="0" applyNumberFormat="1" applyFont="1" applyBorder="1" applyAlignment="1">
      <alignment horizontal="left" vertical="top" indent="4" shrinkToFit="1"/>
    </xf>
    <xf numFmtId="166" fontId="8" fillId="0" borderId="13" xfId="0" applyNumberFormat="1" applyFont="1" applyBorder="1" applyAlignment="1">
      <alignment horizontal="left" vertical="top" indent="2" shrinkToFit="1"/>
    </xf>
    <xf numFmtId="0" fontId="0" fillId="0" borderId="14" xfId="0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167" fontId="0" fillId="0" borderId="2" xfId="0" applyNumberFormat="1" applyBorder="1"/>
    <xf numFmtId="0" fontId="2" fillId="0" borderId="2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165" fontId="1" fillId="0" borderId="1" xfId="0" applyNumberFormat="1" applyFont="1" applyBorder="1" applyAlignment="1">
      <alignment horizontal="left" vertical="center" wrapText="1" indent="1" readingOrder="1"/>
    </xf>
    <xf numFmtId="165" fontId="1" fillId="0" borderId="1" xfId="0" applyNumberFormat="1" applyFont="1" applyBorder="1" applyAlignment="1">
      <alignment vertical="center" wrapText="1" readingOrder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top" wrapText="1" indent="4"/>
    </xf>
    <xf numFmtId="0" fontId="7" fillId="0" borderId="11" xfId="0" applyFont="1" applyBorder="1" applyAlignment="1">
      <alignment horizontal="left" vertical="top" wrapText="1" indent="4"/>
    </xf>
    <xf numFmtId="0" fontId="7" fillId="0" borderId="9" xfId="0" applyFont="1" applyBorder="1" applyAlignment="1">
      <alignment horizontal="left" vertical="top" wrapText="1" indent="1"/>
    </xf>
    <xf numFmtId="0" fontId="7" fillId="0" borderId="12" xfId="0" applyFont="1" applyBorder="1" applyAlignment="1">
      <alignment horizontal="left" vertical="top" wrapText="1" indent="1"/>
    </xf>
    <xf numFmtId="0" fontId="7" fillId="0" borderId="9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 indent="5"/>
    </xf>
    <xf numFmtId="0" fontId="7" fillId="0" borderId="11" xfId="0" applyFont="1" applyBorder="1" applyAlignment="1">
      <alignment horizontal="left" vertical="top" wrapText="1" indent="5"/>
    </xf>
    <xf numFmtId="0" fontId="7" fillId="0" borderId="10" xfId="0" applyFont="1" applyBorder="1" applyAlignment="1">
      <alignment horizontal="left" vertical="top" wrapText="1" indent="2"/>
    </xf>
    <xf numFmtId="0" fontId="7" fillId="0" borderId="11" xfId="0" applyFont="1" applyBorder="1" applyAlignment="1">
      <alignment horizontal="left" vertical="top" wrapText="1" indent="2"/>
    </xf>
    <xf numFmtId="0" fontId="7" fillId="0" borderId="1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</cellXfs>
  <cellStyles count="1">
    <cellStyle name="Normal" xfId="0" builtinId="0"/>
  </cellStyles>
  <dxfs count="13">
    <dxf>
      <numFmt numFmtId="165" formatCode="0.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8" formatCode="0.000000"/>
    </dxf>
    <dxf>
      <numFmt numFmtId="166" formatCode="0.0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</dxfs>
  <tableStyles count="1" defaultTableStyle="TableStyleMedium2" defaultPivotStyle="PivotStyleLight16">
    <tableStyle name="Invisible" pivot="0" table="0" count="0" xr9:uid="{9ADD7B63-EA0F-4EAC-94C2-279BCB9AC77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655320</xdr:colOff>
      <xdr:row>0</xdr:row>
      <xdr:rowOff>121920</xdr:rowOff>
    </xdr:from>
    <xdr:to>
      <xdr:col>10</xdr:col>
      <xdr:colOff>137160</xdr:colOff>
      <xdr:row>4</xdr:row>
      <xdr:rowOff>7620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7869E05E-8340-5E11-E4FA-46F184E31BCC}"/>
            </a:ext>
          </a:extLst>
        </xdr:cNvPr>
        <xdr:cNvSpPr txBox="1"/>
      </xdr:nvSpPr>
      <xdr:spPr>
        <a:xfrm>
          <a:off x="5920740" y="121920"/>
          <a:ext cx="822960" cy="899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Barras:</a:t>
          </a:r>
          <a:br>
            <a:rPr lang="pt-BR" sz="1100"/>
          </a:br>
          <a:r>
            <a:rPr lang="pt-BR" sz="1100"/>
            <a:t>1</a:t>
          </a:r>
          <a:r>
            <a:rPr lang="pt-BR" sz="1100" baseline="0"/>
            <a:t> - Slack</a:t>
          </a:r>
          <a:br>
            <a:rPr lang="pt-BR" sz="1100" baseline="0"/>
          </a:br>
          <a:r>
            <a:rPr lang="pt-BR" sz="1100" baseline="0"/>
            <a:t>2 - PV</a:t>
          </a:r>
          <a:br>
            <a:rPr lang="pt-BR" sz="1100" baseline="0"/>
          </a:br>
          <a:r>
            <a:rPr lang="pt-BR" sz="1100" baseline="0"/>
            <a:t>0 - PQ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</xdr:colOff>
      <xdr:row>3</xdr:row>
      <xdr:rowOff>22860</xdr:rowOff>
    </xdr:from>
    <xdr:to>
      <xdr:col>9</xdr:col>
      <xdr:colOff>663235</xdr:colOff>
      <xdr:row>10</xdr:row>
      <xdr:rowOff>154113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99B3873F-3382-43C3-A610-729AE88F1117}"/>
            </a:ext>
          </a:extLst>
        </xdr:cNvPr>
        <xdr:cNvSpPr txBox="1"/>
      </xdr:nvSpPr>
      <xdr:spPr>
        <a:xfrm>
          <a:off x="5486400" y="815340"/>
          <a:ext cx="1943395" cy="15180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COLOCAR SEMPRE A SUSCEPTÂNCIA</a:t>
          </a:r>
          <a:r>
            <a:rPr lang="pt-BR" sz="1100" baseline="0"/>
            <a:t> SHUNT TOTAL DA LINHA (Line charging *2)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655899</xdr:colOff>
      <xdr:row>0</xdr:row>
      <xdr:rowOff>163975</xdr:rowOff>
    </xdr:from>
    <xdr:to>
      <xdr:col>28</xdr:col>
      <xdr:colOff>128479</xdr:colOff>
      <xdr:row>3</xdr:row>
      <xdr:rowOff>69641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A029A365-4E65-439F-BAA5-6014FE179EE6}"/>
            </a:ext>
          </a:extLst>
        </xdr:cNvPr>
        <xdr:cNvSpPr txBox="1"/>
      </xdr:nvSpPr>
      <xdr:spPr>
        <a:xfrm>
          <a:off x="18789570" y="163975"/>
          <a:ext cx="822960" cy="899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Barras:</a:t>
          </a:r>
          <a:br>
            <a:rPr lang="pt-BR" sz="1100"/>
          </a:br>
          <a:r>
            <a:rPr lang="pt-BR" sz="1100"/>
            <a:t>1</a:t>
          </a:r>
          <a:r>
            <a:rPr lang="pt-BR" sz="1100" baseline="0"/>
            <a:t> - Slack</a:t>
          </a:r>
          <a:br>
            <a:rPr lang="pt-BR" sz="1100" baseline="0"/>
          </a:br>
          <a:r>
            <a:rPr lang="pt-BR" sz="1100" baseline="0"/>
            <a:t>2 - PV</a:t>
          </a:r>
          <a:br>
            <a:rPr lang="pt-BR" sz="1100" baseline="0"/>
          </a:br>
          <a:r>
            <a:rPr lang="pt-BR" sz="1100" baseline="0"/>
            <a:t>0 - PQ</a:t>
          </a:r>
          <a:endParaRPr lang="pt-BR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4" xr16:uid="{7337906C-094F-46CF-ABED-1C27A894F823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  <extLst>
    <ext xmlns:x15="http://schemas.microsoft.com/office/spreadsheetml/2010/11/main" uri="{883FBD77-0823-4a55-B5E3-86C4891E6966}">
      <x15:queryTable sourceDataName="Consulta - Table004 (Page 3)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backgroundRefresh="0" connectionId="5" xr16:uid="{30F8557D-E514-40F9-A66D-FC188AC4E2E4}" autoFormatId="16" applyNumberFormats="0" applyBorderFormats="0" applyFontFormats="0" applyPatternFormats="0" applyAlignmentFormats="0" applyWidthHeightFormats="0">
  <queryTableRefresh nextId="12">
    <queryTableFields count="6">
      <queryTableField id="6" name="Line No" tableColumnId="6"/>
      <queryTableField id="7" name="From" tableColumnId="7"/>
      <queryTableField id="8" name="To" tableColumnId="8"/>
      <queryTableField id="9" name="R_pu" tableColumnId="9"/>
      <queryTableField id="10" name="X_pu" tableColumnId="10"/>
      <queryTableField id="11" name="B_pu/2" tableColumnId="11"/>
    </queryTableFields>
  </queryTableRefresh>
  <extLst>
    <ext xmlns:x15="http://schemas.microsoft.com/office/spreadsheetml/2010/11/main" uri="{883FBD77-0823-4a55-B5E3-86C4891E6966}">
      <x15:queryTable sourceDataName="Consulta - Table005 (Page 4)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backgroundRefresh="0" connectionId="6" xr16:uid="{AFA9F659-7D80-461D-9ADC-633DCCA98319}" autoFormatId="16" applyNumberFormats="0" applyBorderFormats="0" applyFontFormats="0" applyPatternFormats="0" applyAlignmentFormats="0" applyWidthHeightFormats="0">
  <queryTableRefresh nextId="4">
    <queryTableFields count="3">
      <queryTableField id="1" name="Transformer" tableColumnId="1"/>
      <queryTableField id="2" name="Between Buses" tableColumnId="2"/>
      <queryTableField id="3" name="Tap Setting" tableColumnId="3"/>
    </queryTableFields>
  </queryTableRefresh>
  <extLst>
    <ext xmlns:x15="http://schemas.microsoft.com/office/spreadsheetml/2010/11/main" uri="{883FBD77-0823-4a55-B5E3-86C4891E6966}">
      <x15:queryTable sourceDataName="Consulta - Table006 (Page 5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A6140D-DCA6-4B9E-B0A9-2720A66AE1CF}" name="Table004__Page_3" displayName="Table004__Page_3" ref="A1:G15" tableType="queryTable" totalsRowShown="0">
  <autoFilter ref="A1:G15" xr:uid="{ACA6140D-DCA6-4B9E-B0A9-2720A66AE1CF}"/>
  <tableColumns count="7">
    <tableColumn id="1" xr3:uid="{3687A3B0-2643-4B60-8B3C-FAF7C9782214}" uniqueName="1" name="Bus" queryTableFieldId="1" dataDxfId="12"/>
    <tableColumn id="2" xr3:uid="{7AD1DECE-43DA-4C11-BA2E-2C2DD3C931E6}" uniqueName="2" name="V_pu" queryTableFieldId="2" dataDxfId="11"/>
    <tableColumn id="3" xr3:uid="{178D2495-1973-41D0-BBFE-347BA7EC4A51}" uniqueName="3" name="Deg" queryTableFieldId="3" dataDxfId="10"/>
    <tableColumn id="4" xr3:uid="{D929051A-E3DB-4079-9883-4898A97E8C73}" uniqueName="4" name="Gen_MW" queryTableFieldId="4" dataDxfId="9"/>
    <tableColumn id="5" xr3:uid="{394DDC6C-D89D-45AC-A620-04C2855B317F}" uniqueName="5" name="Gen_Mvar" queryTableFieldId="5" dataDxfId="8"/>
    <tableColumn id="6" xr3:uid="{22E560BE-7E38-46FD-B840-2DBDDAC4A5DF}" uniqueName="6" name="Load_MW" queryTableFieldId="6" dataDxfId="7"/>
    <tableColumn id="7" xr3:uid="{1176E9F0-C70D-4264-96B4-5585BCDA2FEE}" uniqueName="7" name="Load_Mvar" queryTableFieldId="7" dataDxfId="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707B37-6921-49DB-A255-6F5C0DF184A9}" name="Table005__Page_4" displayName="Table005__Page_4" ref="I1:N21" tableType="queryTable" totalsRowShown="0">
  <autoFilter ref="I1:N21" xr:uid="{F7707B37-6921-49DB-A255-6F5C0DF184A9}"/>
  <tableColumns count="6">
    <tableColumn id="6" xr3:uid="{40F21289-7386-4DF8-8994-82529DD4C5E3}" uniqueName="6" name="Line No" queryTableFieldId="6"/>
    <tableColumn id="7" xr3:uid="{1ADE2D61-6B35-422E-A787-C8533F44D9DA}" uniqueName="7" name="From" queryTableFieldId="7"/>
    <tableColumn id="8" xr3:uid="{7FAFB5AF-1BB2-4EC7-BE0D-66CFA6935CA3}" uniqueName="8" name="To" queryTableFieldId="8"/>
    <tableColumn id="9" xr3:uid="{01217EA6-BB2B-4FB3-83FE-BB8A56F46225}" uniqueName="9" name="R_pu" queryTableFieldId="9"/>
    <tableColumn id="10" xr3:uid="{4DCA4D5F-7E25-48A3-A180-DCEE4E693FD9}" uniqueName="10" name="X_pu" queryTableFieldId="10" dataDxfId="5"/>
    <tableColumn id="11" xr3:uid="{07BC4311-567C-417C-81AC-E570E7CEDFBC}" uniqueName="11" name="B_pu/2" queryTableFieldId="11" dataDxfId="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1B6EF7-E1D8-4D0D-B04D-CD85103C17CE}" name="Table006__Page_5" displayName="Table006__Page_5" ref="P1:R4" tableType="queryTable" totalsRowShown="0" dataDxfId="3">
  <autoFilter ref="P1:R4" xr:uid="{881B6EF7-E1D8-4D0D-B04D-CD85103C17CE}"/>
  <tableColumns count="3">
    <tableColumn id="1" xr3:uid="{0733B4B1-E36D-4E22-A408-BFF6AFC18AA5}" uniqueName="1" name="Transformer" queryTableFieldId="1" dataDxfId="2"/>
    <tableColumn id="2" xr3:uid="{9FE69875-C34E-49F8-840E-B953138F6B0B}" uniqueName="2" name="Between Buses" queryTableFieldId="2" dataDxfId="1"/>
    <tableColumn id="3" xr3:uid="{789D64AA-98BB-44C5-92A0-93FF6717F1D9}" uniqueName="3" name="Tap Setting" queryTableFieldId="3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AB227-E37D-4C22-B560-25F0056F8F9D}">
  <dimension ref="A1:H15"/>
  <sheetViews>
    <sheetView tabSelected="1" workbookViewId="0">
      <selection activeCell="C16" sqref="C16"/>
    </sheetView>
  </sheetViews>
  <sheetFormatPr defaultRowHeight="15.6" x14ac:dyDescent="0.3"/>
  <cols>
    <col min="1" max="1" width="6.8984375" bestFit="1" customWidth="1"/>
    <col min="3" max="4" width="8.8984375" bestFit="1" customWidth="1"/>
    <col min="5" max="5" width="9.296875" bestFit="1" customWidth="1"/>
    <col min="6" max="6" width="10.296875" bestFit="1" customWidth="1"/>
    <col min="7" max="7" width="8.69921875" customWidth="1"/>
    <col min="8" max="8" width="8.8984375" bestFit="1" customWidth="1"/>
  </cols>
  <sheetData>
    <row r="1" spans="1:8" ht="31.8" thickBot="1" x14ac:dyDescent="0.35">
      <c r="A1" s="1" t="s">
        <v>4</v>
      </c>
      <c r="B1" s="1" t="s">
        <v>5</v>
      </c>
      <c r="C1" s="1" t="s">
        <v>0</v>
      </c>
      <c r="D1" s="1" t="s">
        <v>12</v>
      </c>
      <c r="E1" s="1" t="s">
        <v>6</v>
      </c>
      <c r="F1" s="1" t="s">
        <v>7</v>
      </c>
      <c r="G1" s="1" t="s">
        <v>8</v>
      </c>
      <c r="H1" s="2" t="s">
        <v>9</v>
      </c>
    </row>
    <row r="2" spans="1:8" ht="16.2" thickBot="1" x14ac:dyDescent="0.35">
      <c r="A2" s="21">
        <v>1</v>
      </c>
      <c r="B2" s="3">
        <f>Planilha4!W2</f>
        <v>1</v>
      </c>
      <c r="C2" s="66">
        <f>Planilha4!X2</f>
        <v>1.06</v>
      </c>
      <c r="D2" s="66">
        <f>Planilha4!Y2</f>
        <v>0</v>
      </c>
      <c r="E2" s="66">
        <v>0</v>
      </c>
      <c r="F2" s="66">
        <v>0</v>
      </c>
      <c r="G2" s="66">
        <f>Planilha4!AB2</f>
        <v>0</v>
      </c>
      <c r="H2" s="67">
        <f>Planilha4!AC2</f>
        <v>0</v>
      </c>
    </row>
    <row r="3" spans="1:8" ht="16.2" thickBot="1" x14ac:dyDescent="0.35">
      <c r="A3" s="21">
        <v>2</v>
      </c>
      <c r="B3" s="3">
        <f>Planilha4!W3</f>
        <v>2</v>
      </c>
      <c r="C3" s="66">
        <f>Planilha4!X3</f>
        <v>1.0449999999999999</v>
      </c>
      <c r="D3" s="66">
        <v>0</v>
      </c>
      <c r="E3" s="66">
        <f>Planilha4!Z3</f>
        <v>40</v>
      </c>
      <c r="F3" s="66">
        <v>42.4</v>
      </c>
      <c r="G3" s="66">
        <f>Planilha4!AB3</f>
        <v>21.7</v>
      </c>
      <c r="H3" s="67">
        <f>Planilha4!AC3</f>
        <v>12.7</v>
      </c>
    </row>
    <row r="4" spans="1:8" ht="16.2" thickBot="1" x14ac:dyDescent="0.35">
      <c r="A4" s="21">
        <v>3</v>
      </c>
      <c r="B4" s="3">
        <f>Planilha4!W4</f>
        <v>2</v>
      </c>
      <c r="C4" s="66">
        <f>Planilha4!X4</f>
        <v>1.01</v>
      </c>
      <c r="D4" s="66">
        <v>0</v>
      </c>
      <c r="E4" s="66">
        <f>Planilha4!Z4</f>
        <v>0</v>
      </c>
      <c r="F4" s="66">
        <v>23.4</v>
      </c>
      <c r="G4" s="66">
        <f>Planilha4!AB4</f>
        <v>94.2</v>
      </c>
      <c r="H4" s="67">
        <f>Planilha4!AC4</f>
        <v>19</v>
      </c>
    </row>
    <row r="5" spans="1:8" ht="16.2" thickBot="1" x14ac:dyDescent="0.35">
      <c r="A5" s="21">
        <v>4</v>
      </c>
      <c r="B5" s="3">
        <f>Planilha4!W5</f>
        <v>0</v>
      </c>
      <c r="C5" s="66">
        <v>1</v>
      </c>
      <c r="D5" s="66">
        <v>0</v>
      </c>
      <c r="E5" s="66">
        <f>Planilha4!Z5</f>
        <v>0</v>
      </c>
      <c r="F5" s="66">
        <v>0</v>
      </c>
      <c r="G5" s="66">
        <f>Planilha4!AB5</f>
        <v>47.8</v>
      </c>
      <c r="H5" s="67">
        <v>0</v>
      </c>
    </row>
    <row r="6" spans="1:8" ht="16.2" thickBot="1" x14ac:dyDescent="0.35">
      <c r="A6" s="21">
        <v>5</v>
      </c>
      <c r="B6" s="3">
        <f>Planilha4!W6</f>
        <v>0</v>
      </c>
      <c r="C6" s="66">
        <v>1</v>
      </c>
      <c r="D6" s="66">
        <v>0</v>
      </c>
      <c r="E6" s="66">
        <f>Planilha4!Z6</f>
        <v>0</v>
      </c>
      <c r="F6" s="66">
        <v>0</v>
      </c>
      <c r="G6" s="66">
        <f>Planilha4!AB6</f>
        <v>7.6</v>
      </c>
      <c r="H6" s="67">
        <f>Planilha4!AC6</f>
        <v>1.6</v>
      </c>
    </row>
    <row r="7" spans="1:8" ht="16.2" thickBot="1" x14ac:dyDescent="0.35">
      <c r="A7" s="21">
        <v>6</v>
      </c>
      <c r="B7" s="3">
        <f>Planilha4!W7</f>
        <v>2</v>
      </c>
      <c r="C7" s="66">
        <f>Planilha4!X7</f>
        <v>1.07</v>
      </c>
      <c r="D7" s="66">
        <v>0</v>
      </c>
      <c r="E7" s="66">
        <f>Planilha4!Z7</f>
        <v>0</v>
      </c>
      <c r="F7" s="66">
        <v>12.2</v>
      </c>
      <c r="G7" s="66">
        <f>Planilha4!AB7</f>
        <v>11.2</v>
      </c>
      <c r="H7" s="67">
        <f>Planilha4!AC7</f>
        <v>7.5</v>
      </c>
    </row>
    <row r="8" spans="1:8" ht="16.2" thickBot="1" x14ac:dyDescent="0.35">
      <c r="A8" s="21">
        <v>7</v>
      </c>
      <c r="B8" s="3">
        <f>Planilha4!W8</f>
        <v>0</v>
      </c>
      <c r="C8" s="66">
        <v>1</v>
      </c>
      <c r="D8" s="66">
        <v>0</v>
      </c>
      <c r="E8" s="66">
        <f>Planilha4!Z8</f>
        <v>0</v>
      </c>
      <c r="F8" s="66">
        <v>0</v>
      </c>
      <c r="G8" s="66">
        <f>Planilha4!AB8</f>
        <v>0</v>
      </c>
      <c r="H8" s="67">
        <f>Planilha4!AC8</f>
        <v>0</v>
      </c>
    </row>
    <row r="9" spans="1:8" ht="16.2" thickBot="1" x14ac:dyDescent="0.35">
      <c r="A9" s="21">
        <v>8</v>
      </c>
      <c r="B9" s="3">
        <f>Planilha4!W9</f>
        <v>2</v>
      </c>
      <c r="C9" s="66">
        <f>Planilha4!X9</f>
        <v>1.0900000000000001</v>
      </c>
      <c r="D9" s="66">
        <v>0</v>
      </c>
      <c r="E9" s="66">
        <f>Planilha4!Z9</f>
        <v>0</v>
      </c>
      <c r="F9" s="66">
        <v>17.399999999999999</v>
      </c>
      <c r="G9" s="66">
        <f>Planilha4!AB9</f>
        <v>0</v>
      </c>
      <c r="H9" s="67">
        <f>Planilha4!AC9</f>
        <v>0</v>
      </c>
    </row>
    <row r="10" spans="1:8" ht="16.2" thickBot="1" x14ac:dyDescent="0.35">
      <c r="A10" s="21">
        <v>9</v>
      </c>
      <c r="B10" s="3">
        <f>Planilha4!W10</f>
        <v>0</v>
      </c>
      <c r="C10" s="66">
        <v>1</v>
      </c>
      <c r="D10" s="66">
        <v>0</v>
      </c>
      <c r="E10" s="66">
        <f>Planilha4!Z10</f>
        <v>0</v>
      </c>
      <c r="F10" s="66">
        <v>0</v>
      </c>
      <c r="G10" s="66">
        <f>Planilha4!AB10</f>
        <v>29.5</v>
      </c>
      <c r="H10" s="67">
        <f>Planilha4!AC10</f>
        <v>16.600000000000001</v>
      </c>
    </row>
    <row r="11" spans="1:8" ht="16.2" thickBot="1" x14ac:dyDescent="0.35">
      <c r="A11" s="21">
        <v>10</v>
      </c>
      <c r="B11" s="3">
        <f>Planilha4!W11</f>
        <v>0</v>
      </c>
      <c r="C11" s="66">
        <v>1</v>
      </c>
      <c r="D11" s="66">
        <v>0</v>
      </c>
      <c r="E11" s="66">
        <f>Planilha4!Z11</f>
        <v>0</v>
      </c>
      <c r="F11" s="66">
        <v>0</v>
      </c>
      <c r="G11" s="66">
        <f>Planilha4!AB11</f>
        <v>9</v>
      </c>
      <c r="H11" s="67">
        <f>Planilha4!AC11</f>
        <v>5.8</v>
      </c>
    </row>
    <row r="12" spans="1:8" ht="16.2" thickBot="1" x14ac:dyDescent="0.35">
      <c r="A12" s="21">
        <v>11</v>
      </c>
      <c r="B12" s="3">
        <f>Planilha4!W12</f>
        <v>0</v>
      </c>
      <c r="C12" s="66">
        <v>1</v>
      </c>
      <c r="D12" s="66">
        <v>0</v>
      </c>
      <c r="E12" s="66">
        <f>Planilha4!Z12</f>
        <v>0</v>
      </c>
      <c r="F12" s="66">
        <v>0</v>
      </c>
      <c r="G12" s="66">
        <f>Planilha4!AB12</f>
        <v>3.5</v>
      </c>
      <c r="H12" s="67">
        <f>Planilha4!AC12</f>
        <v>1.8</v>
      </c>
    </row>
    <row r="13" spans="1:8" ht="16.2" thickBot="1" x14ac:dyDescent="0.35">
      <c r="A13" s="21">
        <v>12</v>
      </c>
      <c r="B13" s="3">
        <f>Planilha4!W13</f>
        <v>0</v>
      </c>
      <c r="C13" s="66">
        <v>1</v>
      </c>
      <c r="D13" s="66">
        <v>0</v>
      </c>
      <c r="E13" s="66">
        <f>Planilha4!Z13</f>
        <v>0</v>
      </c>
      <c r="F13" s="66">
        <v>0</v>
      </c>
      <c r="G13" s="66">
        <f>Planilha4!AB13</f>
        <v>6.1</v>
      </c>
      <c r="H13" s="67">
        <f>Planilha4!AC13</f>
        <v>1.6</v>
      </c>
    </row>
    <row r="14" spans="1:8" ht="16.2" thickBot="1" x14ac:dyDescent="0.35">
      <c r="A14" s="21">
        <v>13</v>
      </c>
      <c r="B14" s="3">
        <f>Planilha4!W14</f>
        <v>0</v>
      </c>
      <c r="C14" s="66">
        <v>1</v>
      </c>
      <c r="D14" s="66">
        <v>0</v>
      </c>
      <c r="E14" s="66">
        <f>Planilha4!Z14</f>
        <v>0</v>
      </c>
      <c r="F14" s="66">
        <v>0</v>
      </c>
      <c r="G14" s="66">
        <f>Planilha4!AB14</f>
        <v>13.5</v>
      </c>
      <c r="H14" s="67">
        <f>Planilha4!AC14</f>
        <v>5.8</v>
      </c>
    </row>
    <row r="15" spans="1:8" ht="16.2" thickBot="1" x14ac:dyDescent="0.35">
      <c r="A15" s="21">
        <v>14</v>
      </c>
      <c r="B15" s="3">
        <f>Planilha4!W15</f>
        <v>0</v>
      </c>
      <c r="C15" s="66">
        <v>1</v>
      </c>
      <c r="D15" s="66">
        <v>0</v>
      </c>
      <c r="E15" s="66">
        <f>Planilha4!Z15</f>
        <v>0</v>
      </c>
      <c r="F15" s="66">
        <v>0</v>
      </c>
      <c r="G15" s="66">
        <f>Planilha4!AB15</f>
        <v>14.9</v>
      </c>
      <c r="H15" s="67">
        <f>Planilha4!AC15</f>
        <v>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E4A01-B7C8-443D-B1F9-2CCB2140615D}">
  <dimension ref="A1:F21"/>
  <sheetViews>
    <sheetView workbookViewId="0">
      <selection activeCell="F10" sqref="F10"/>
    </sheetView>
  </sheetViews>
  <sheetFormatPr defaultRowHeight="15.6" x14ac:dyDescent="0.3"/>
  <cols>
    <col min="3" max="4" width="13.796875" bestFit="1" customWidth="1"/>
    <col min="8" max="8" width="8.3984375" bestFit="1" customWidth="1"/>
  </cols>
  <sheetData>
    <row r="1" spans="1:6" ht="31.2" x14ac:dyDescent="0.3">
      <c r="A1" s="64" t="s">
        <v>10</v>
      </c>
      <c r="B1" s="64" t="s">
        <v>11</v>
      </c>
      <c r="C1" s="64" t="s">
        <v>1</v>
      </c>
      <c r="D1" s="64" t="s">
        <v>2</v>
      </c>
      <c r="E1" s="64" t="s">
        <v>3</v>
      </c>
      <c r="F1" s="64" t="s">
        <v>21</v>
      </c>
    </row>
    <row r="2" spans="1:6" x14ac:dyDescent="0.3">
      <c r="A2" s="65">
        <f>Planilha4!AE2</f>
        <v>1</v>
      </c>
      <c r="B2" s="65">
        <f>Planilha4!AF2</f>
        <v>2</v>
      </c>
      <c r="C2" s="65">
        <f>Planilha4!AG2</f>
        <v>1.9380000000000001E-2</v>
      </c>
      <c r="D2" s="65">
        <f>Planilha4!AH2</f>
        <v>5.917E-2</v>
      </c>
      <c r="E2" s="65">
        <f>Planilha4!AI2</f>
        <v>5.28E-2</v>
      </c>
      <c r="F2" s="65">
        <f>Planilha4!AJ2</f>
        <v>1</v>
      </c>
    </row>
    <row r="3" spans="1:6" x14ac:dyDescent="0.3">
      <c r="A3" s="9">
        <f>Planilha4!AE3</f>
        <v>2</v>
      </c>
      <c r="B3" s="65">
        <f>Planilha4!AF3</f>
        <v>3</v>
      </c>
      <c r="C3" s="65">
        <f>Planilha4!AG3</f>
        <v>4.6989999999999997E-2</v>
      </c>
      <c r="D3" s="65">
        <f>Planilha4!AH3</f>
        <v>0.19797000000000001</v>
      </c>
      <c r="E3" s="65">
        <f>Planilha4!AI3</f>
        <v>4.3799999999999999E-2</v>
      </c>
      <c r="F3" s="65">
        <f>Planilha4!AJ3</f>
        <v>1</v>
      </c>
    </row>
    <row r="4" spans="1:6" x14ac:dyDescent="0.3">
      <c r="A4" s="9">
        <f>Planilha4!AE4</f>
        <v>2</v>
      </c>
      <c r="B4" s="65">
        <f>Planilha4!AF4</f>
        <v>4</v>
      </c>
      <c r="C4" s="65">
        <f>Planilha4!AG4</f>
        <v>5.8110000000000002E-2</v>
      </c>
      <c r="D4" s="65">
        <f>Planilha4!AH4</f>
        <v>0.17632</v>
      </c>
      <c r="E4" s="65">
        <f>Planilha4!AI4</f>
        <v>3.7400000000000003E-2</v>
      </c>
      <c r="F4" s="65">
        <f>Planilha4!AJ4</f>
        <v>1</v>
      </c>
    </row>
    <row r="5" spans="1:6" x14ac:dyDescent="0.3">
      <c r="A5" s="9">
        <f>Planilha4!AE5</f>
        <v>1</v>
      </c>
      <c r="B5" s="65">
        <f>Planilha4!AF5</f>
        <v>5</v>
      </c>
      <c r="C5" s="65">
        <f>Planilha4!AG5</f>
        <v>5.4030000000000002E-2</v>
      </c>
      <c r="D5" s="65">
        <f>Planilha4!AH5</f>
        <v>0.22303999999999999</v>
      </c>
      <c r="E5" s="65">
        <f>Planilha4!AI5</f>
        <v>4.9200000000000001E-2</v>
      </c>
      <c r="F5" s="65">
        <f>Planilha4!AJ5</f>
        <v>1</v>
      </c>
    </row>
    <row r="6" spans="1:6" x14ac:dyDescent="0.3">
      <c r="A6" s="9">
        <f>Planilha4!AE6</f>
        <v>2</v>
      </c>
      <c r="B6" s="65">
        <f>Planilha4!AF6</f>
        <v>5</v>
      </c>
      <c r="C6" s="65">
        <f>Planilha4!AG6</f>
        <v>5.6950000000000001E-2</v>
      </c>
      <c r="D6" s="65">
        <f>Planilha4!AH6</f>
        <v>0.17388000000000001</v>
      </c>
      <c r="E6" s="65">
        <f>Planilha4!AI6</f>
        <v>3.4000000000000002E-2</v>
      </c>
      <c r="F6" s="65">
        <f>Planilha4!AJ6</f>
        <v>1</v>
      </c>
    </row>
    <row r="7" spans="1:6" x14ac:dyDescent="0.3">
      <c r="A7" s="9">
        <f>Planilha4!AE7</f>
        <v>3</v>
      </c>
      <c r="B7" s="65">
        <f>Planilha4!AF7</f>
        <v>4</v>
      </c>
      <c r="C7" s="65">
        <f>Planilha4!AG7</f>
        <v>6.701E-2</v>
      </c>
      <c r="D7" s="65">
        <f>Planilha4!AH7</f>
        <v>0.17102999999999999</v>
      </c>
      <c r="E7" s="65">
        <f>Planilha4!AI7</f>
        <v>3.4599999999999999E-2</v>
      </c>
      <c r="F7" s="65">
        <f>Planilha4!AJ7</f>
        <v>1</v>
      </c>
    </row>
    <row r="8" spans="1:6" x14ac:dyDescent="0.3">
      <c r="A8" s="9">
        <f>Planilha4!AE8</f>
        <v>4</v>
      </c>
      <c r="B8" s="65">
        <f>Planilha4!AF8</f>
        <v>5</v>
      </c>
      <c r="C8" s="65">
        <f>Planilha4!AG8</f>
        <v>1.3350000000000001E-2</v>
      </c>
      <c r="D8" s="65">
        <f>Planilha4!AH8</f>
        <v>4.2110000000000002E-2</v>
      </c>
      <c r="E8" s="65">
        <f>Planilha4!AI8</f>
        <v>1.2800000000000001E-2</v>
      </c>
      <c r="F8" s="65">
        <f>Planilha4!AJ8</f>
        <v>1</v>
      </c>
    </row>
    <row r="9" spans="1:6" x14ac:dyDescent="0.3">
      <c r="A9" s="9">
        <f>Planilha4!AE9</f>
        <v>5</v>
      </c>
      <c r="B9" s="65">
        <f>Planilha4!AF9</f>
        <v>6</v>
      </c>
      <c r="C9" s="65">
        <f>Planilha4!AG9</f>
        <v>0</v>
      </c>
      <c r="D9" s="65">
        <f>Planilha4!AH9</f>
        <v>0.25202000000000002</v>
      </c>
      <c r="E9" s="65">
        <f>Planilha4!AI9</f>
        <v>0</v>
      </c>
      <c r="F9" s="65">
        <v>0.93200000000000005</v>
      </c>
    </row>
    <row r="10" spans="1:6" x14ac:dyDescent="0.3">
      <c r="A10" s="9">
        <f>Planilha4!AE10</f>
        <v>4</v>
      </c>
      <c r="B10" s="65">
        <f>Planilha4!AF10</f>
        <v>7</v>
      </c>
      <c r="C10" s="65">
        <f>Planilha4!AG10</f>
        <v>0</v>
      </c>
      <c r="D10" s="65">
        <f>Planilha4!AH10</f>
        <v>0.20912</v>
      </c>
      <c r="E10" s="65">
        <f>Planilha4!AI10</f>
        <v>0</v>
      </c>
      <c r="F10" s="65">
        <v>0.97799999999999998</v>
      </c>
    </row>
    <row r="11" spans="1:6" x14ac:dyDescent="0.3">
      <c r="A11" s="9">
        <f>Planilha4!AE11</f>
        <v>7</v>
      </c>
      <c r="B11" s="65">
        <f>Planilha4!AF11</f>
        <v>8</v>
      </c>
      <c r="C11" s="65">
        <f>Planilha4!AG11</f>
        <v>0</v>
      </c>
      <c r="D11" s="65">
        <f>Planilha4!AH11</f>
        <v>0.17615</v>
      </c>
      <c r="E11" s="65">
        <f>Planilha4!AI11</f>
        <v>0</v>
      </c>
      <c r="F11" s="65">
        <f>Planilha4!AJ11</f>
        <v>1</v>
      </c>
    </row>
    <row r="12" spans="1:6" x14ac:dyDescent="0.3">
      <c r="A12" s="9">
        <f>Planilha4!AE12</f>
        <v>4</v>
      </c>
      <c r="B12" s="65">
        <f>Planilha4!AF12</f>
        <v>9</v>
      </c>
      <c r="C12" s="65">
        <f>Planilha4!AG12</f>
        <v>0</v>
      </c>
      <c r="D12" s="65">
        <f>Planilha4!AH12</f>
        <v>0.55618000000000001</v>
      </c>
      <c r="E12" s="65">
        <f>Planilha4!AI12</f>
        <v>0</v>
      </c>
      <c r="F12" s="65">
        <v>0.96899999999999997</v>
      </c>
    </row>
    <row r="13" spans="1:6" x14ac:dyDescent="0.3">
      <c r="A13" s="9">
        <f>Planilha4!AE13</f>
        <v>7</v>
      </c>
      <c r="B13" s="65">
        <f>Planilha4!AF13</f>
        <v>9</v>
      </c>
      <c r="C13" s="65">
        <f>Planilha4!AG13</f>
        <v>0</v>
      </c>
      <c r="D13" s="65">
        <f>Planilha4!AH13</f>
        <v>0.11001</v>
      </c>
      <c r="E13" s="65">
        <f>Planilha4!AI13</f>
        <v>0</v>
      </c>
      <c r="F13" s="65">
        <f>Planilha4!AJ13</f>
        <v>1</v>
      </c>
    </row>
    <row r="14" spans="1:6" x14ac:dyDescent="0.3">
      <c r="A14" s="9">
        <f>Planilha4!AE14</f>
        <v>9</v>
      </c>
      <c r="B14" s="65">
        <f>Planilha4!AF14</f>
        <v>10</v>
      </c>
      <c r="C14" s="65">
        <f>Planilha4!AG14</f>
        <v>3.1809999999999998E-2</v>
      </c>
      <c r="D14" s="65">
        <f>Planilha4!AH14</f>
        <v>8.4500000000000006E-2</v>
      </c>
      <c r="E14" s="65">
        <f>Planilha4!AI14</f>
        <v>0</v>
      </c>
      <c r="F14" s="65">
        <f>Planilha4!AJ14</f>
        <v>1</v>
      </c>
    </row>
    <row r="15" spans="1:6" x14ac:dyDescent="0.3">
      <c r="A15" s="9">
        <f>Planilha4!AE15</f>
        <v>6</v>
      </c>
      <c r="B15" s="65">
        <f>Planilha4!AF15</f>
        <v>11</v>
      </c>
      <c r="C15" s="65">
        <f>Planilha4!AG15</f>
        <v>9.4979999999999995E-2</v>
      </c>
      <c r="D15" s="65">
        <f>Planilha4!AH15</f>
        <v>0.19889999999999999</v>
      </c>
      <c r="E15" s="65">
        <f>Planilha4!AI15</f>
        <v>0</v>
      </c>
      <c r="F15" s="65">
        <f>Planilha4!AJ15</f>
        <v>1</v>
      </c>
    </row>
    <row r="16" spans="1:6" x14ac:dyDescent="0.3">
      <c r="A16" s="9">
        <f>Planilha4!AE16</f>
        <v>6</v>
      </c>
      <c r="B16" s="65">
        <f>Planilha4!AF16</f>
        <v>12</v>
      </c>
      <c r="C16" s="65">
        <f>Planilha4!AG16</f>
        <v>0.12291000000000001</v>
      </c>
      <c r="D16" s="65">
        <f>Planilha4!AH16</f>
        <v>0.25580999999999998</v>
      </c>
      <c r="E16" s="65">
        <f>Planilha4!AI16</f>
        <v>0</v>
      </c>
      <c r="F16" s="65">
        <f>Planilha4!AJ16</f>
        <v>1</v>
      </c>
    </row>
    <row r="17" spans="1:6" x14ac:dyDescent="0.3">
      <c r="A17" s="9">
        <f>Planilha4!AE17</f>
        <v>6</v>
      </c>
      <c r="B17" s="65">
        <f>Planilha4!AF17</f>
        <v>13</v>
      </c>
      <c r="C17" s="65">
        <f>Planilha4!AG17</f>
        <v>6.615E-2</v>
      </c>
      <c r="D17" s="65">
        <f>Planilha4!AH17</f>
        <v>0.13027</v>
      </c>
      <c r="E17" s="65">
        <f>Planilha4!AI17</f>
        <v>0</v>
      </c>
      <c r="F17" s="65">
        <f>Planilha4!AJ17</f>
        <v>1</v>
      </c>
    </row>
    <row r="18" spans="1:6" x14ac:dyDescent="0.3">
      <c r="A18" s="9">
        <f>Planilha4!AE18</f>
        <v>9</v>
      </c>
      <c r="B18" s="65">
        <f>Planilha4!AF18</f>
        <v>14</v>
      </c>
      <c r="C18" s="65">
        <f>Planilha4!AG18</f>
        <v>0.12711</v>
      </c>
      <c r="D18" s="65">
        <f>Planilha4!AH18</f>
        <v>0.27038000000000001</v>
      </c>
      <c r="E18" s="65">
        <f>Planilha4!AI18</f>
        <v>0</v>
      </c>
      <c r="F18" s="65">
        <f>Planilha4!AJ18</f>
        <v>1</v>
      </c>
    </row>
    <row r="19" spans="1:6" x14ac:dyDescent="0.3">
      <c r="A19" s="9">
        <f>Planilha4!AE19</f>
        <v>10</v>
      </c>
      <c r="B19" s="65">
        <f>Planilha4!AF19</f>
        <v>11</v>
      </c>
      <c r="C19" s="65">
        <f>Planilha4!AG19</f>
        <v>0.82050000000000001</v>
      </c>
      <c r="D19" s="65">
        <f>Planilha4!AH19</f>
        <v>0.19206999999999999</v>
      </c>
      <c r="E19" s="65">
        <f>Planilha4!AI19</f>
        <v>0</v>
      </c>
      <c r="F19" s="65">
        <f>Planilha4!AJ19</f>
        <v>1</v>
      </c>
    </row>
    <row r="20" spans="1:6" x14ac:dyDescent="0.3">
      <c r="A20" s="9">
        <f>Planilha4!AE20</f>
        <v>12</v>
      </c>
      <c r="B20" s="65">
        <f>Planilha4!AF20</f>
        <v>13</v>
      </c>
      <c r="C20" s="65">
        <f>Planilha4!AG20</f>
        <v>0.22092000000000001</v>
      </c>
      <c r="D20" s="65">
        <f>Planilha4!AH20</f>
        <v>0.19988</v>
      </c>
      <c r="E20" s="65">
        <f>Planilha4!AI20</f>
        <v>0</v>
      </c>
      <c r="F20" s="65">
        <f>Planilha4!AJ20</f>
        <v>1</v>
      </c>
    </row>
    <row r="21" spans="1:6" x14ac:dyDescent="0.3">
      <c r="A21" s="9">
        <f>Planilha4!AE21</f>
        <v>13</v>
      </c>
      <c r="B21" s="65">
        <f>Planilha4!AF21</f>
        <v>14</v>
      </c>
      <c r="C21" s="65">
        <f>Planilha4!AG21</f>
        <v>0.17093</v>
      </c>
      <c r="D21" s="65">
        <f>Planilha4!AH21</f>
        <v>0.34802</v>
      </c>
      <c r="E21" s="65">
        <f>Planilha4!AI21</f>
        <v>0</v>
      </c>
      <c r="F21" s="65">
        <f>Planilha4!AJ21</f>
        <v>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3E772-5691-4403-B414-FCA9EE0B0998}">
  <dimension ref="A1:J5"/>
  <sheetViews>
    <sheetView workbookViewId="0">
      <selection activeCell="K5" sqref="K5"/>
    </sheetView>
  </sheetViews>
  <sheetFormatPr defaultRowHeight="15.6" x14ac:dyDescent="0.3"/>
  <cols>
    <col min="5" max="10" width="11" bestFit="1" customWidth="1"/>
  </cols>
  <sheetData>
    <row r="1" spans="1:10" x14ac:dyDescent="0.3">
      <c r="A1" s="6"/>
      <c r="B1" s="7" t="s">
        <v>13</v>
      </c>
      <c r="C1" s="7" t="s">
        <v>14</v>
      </c>
      <c r="D1" s="8" t="s">
        <v>15</v>
      </c>
      <c r="E1" s="6"/>
      <c r="F1" s="6"/>
      <c r="G1" s="7" t="s">
        <v>19</v>
      </c>
      <c r="H1" s="7" t="s">
        <v>20</v>
      </c>
      <c r="I1" s="8" t="s">
        <v>1</v>
      </c>
      <c r="J1" s="8" t="s">
        <v>2</v>
      </c>
    </row>
    <row r="2" spans="1:10" x14ac:dyDescent="0.3">
      <c r="A2" s="6"/>
      <c r="B2" s="10">
        <v>100000000</v>
      </c>
      <c r="C2" s="10">
        <v>370000</v>
      </c>
      <c r="D2" s="10">
        <f>(C2^2)/B2</f>
        <v>1369</v>
      </c>
      <c r="E2" s="6"/>
      <c r="F2" s="6"/>
      <c r="G2" s="9">
        <v>1</v>
      </c>
      <c r="H2" s="9">
        <v>2</v>
      </c>
      <c r="I2" s="11">
        <f>C5/D2</f>
        <v>4.3827611395178961E-3</v>
      </c>
      <c r="J2" s="11">
        <f>D5/D2</f>
        <v>3.6523009495982466E-2</v>
      </c>
    </row>
    <row r="3" spans="1:10" x14ac:dyDescent="0.3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 x14ac:dyDescent="0.3">
      <c r="A4" s="7" t="s">
        <v>19</v>
      </c>
      <c r="B4" s="7" t="s">
        <v>20</v>
      </c>
      <c r="C4" s="7" t="s">
        <v>16</v>
      </c>
      <c r="D4" s="7" t="s">
        <v>17</v>
      </c>
      <c r="E4" s="8" t="s">
        <v>18</v>
      </c>
      <c r="F4" s="6"/>
      <c r="G4" s="6"/>
      <c r="H4" s="6"/>
      <c r="I4" s="6"/>
      <c r="J4" s="6"/>
    </row>
    <row r="5" spans="1:10" x14ac:dyDescent="0.3">
      <c r="A5" s="9">
        <v>1</v>
      </c>
      <c r="B5" s="9">
        <v>2</v>
      </c>
      <c r="C5" s="9">
        <v>6</v>
      </c>
      <c r="D5" s="9">
        <v>50</v>
      </c>
      <c r="E5" s="9" t="str">
        <f>COMPLEX(C5,D5,"j")</f>
        <v>6+50j</v>
      </c>
      <c r="F5" s="6"/>
      <c r="G5" s="6"/>
      <c r="H5" s="6"/>
      <c r="I5" s="6"/>
      <c r="J5" s="6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0D742-F51D-4B33-8769-DEB92508D8AE}">
  <dimension ref="A1:AI23"/>
  <sheetViews>
    <sheetView zoomScale="91" workbookViewId="0">
      <selection activeCell="AH4" sqref="AH4"/>
    </sheetView>
  </sheetViews>
  <sheetFormatPr defaultRowHeight="15.6" x14ac:dyDescent="0.3"/>
  <cols>
    <col min="1" max="3" width="8.796875" style="6"/>
    <col min="4" max="4" width="5.8984375" style="6" bestFit="1" customWidth="1"/>
    <col min="5" max="11" width="8.796875" style="6"/>
    <col min="12" max="12" width="9.69921875" style="6" bestFit="1" customWidth="1"/>
    <col min="13" max="13" width="19" style="6" bestFit="1" customWidth="1"/>
    <col min="14" max="14" width="8.796875" style="6"/>
    <col min="15" max="15" width="8.3984375" style="6" bestFit="1" customWidth="1"/>
    <col min="16" max="16384" width="8.796875" style="6"/>
  </cols>
  <sheetData>
    <row r="1" spans="1:35" ht="31.8" thickBot="1" x14ac:dyDescent="0.35">
      <c r="A1" s="17" t="s">
        <v>4</v>
      </c>
      <c r="B1" s="68" t="s">
        <v>23</v>
      </c>
      <c r="C1" s="69"/>
      <c r="D1" s="68" t="s">
        <v>24</v>
      </c>
      <c r="E1" s="69"/>
      <c r="F1" s="68" t="s">
        <v>25</v>
      </c>
      <c r="G1" s="69"/>
      <c r="I1" s="13" t="s">
        <v>98</v>
      </c>
      <c r="J1" s="70" t="s">
        <v>100</v>
      </c>
      <c r="K1" s="68" t="s">
        <v>101</v>
      </c>
      <c r="L1" s="69"/>
      <c r="M1" s="70" t="s">
        <v>102</v>
      </c>
      <c r="O1" s="12" t="s">
        <v>166</v>
      </c>
      <c r="P1" s="12" t="s">
        <v>167</v>
      </c>
      <c r="Q1" s="12" t="s">
        <v>168</v>
      </c>
      <c r="S1" s="17" t="s">
        <v>4</v>
      </c>
      <c r="T1" s="17" t="s">
        <v>5</v>
      </c>
      <c r="U1" s="17" t="s">
        <v>0</v>
      </c>
      <c r="V1" s="17" t="s">
        <v>12</v>
      </c>
      <c r="W1" s="17" t="s">
        <v>6</v>
      </c>
      <c r="X1" s="17" t="s">
        <v>7</v>
      </c>
      <c r="Y1" s="17" t="s">
        <v>8</v>
      </c>
      <c r="Z1" s="17" t="s">
        <v>9</v>
      </c>
      <c r="AD1" s="16" t="s">
        <v>10</v>
      </c>
      <c r="AE1" s="27" t="s">
        <v>11</v>
      </c>
      <c r="AF1" s="27" t="s">
        <v>1</v>
      </c>
      <c r="AG1" s="27" t="s">
        <v>2</v>
      </c>
      <c r="AH1" s="28" t="s">
        <v>3</v>
      </c>
      <c r="AI1" s="28" t="s">
        <v>21</v>
      </c>
    </row>
    <row r="2" spans="1:35" ht="30.6" customHeight="1" thickBot="1" x14ac:dyDescent="0.35">
      <c r="A2" s="70" t="s">
        <v>31</v>
      </c>
      <c r="B2" s="70" t="s">
        <v>26</v>
      </c>
      <c r="C2" s="70" t="s">
        <v>27</v>
      </c>
      <c r="D2" s="13" t="s">
        <v>28</v>
      </c>
      <c r="E2" s="70" t="s">
        <v>30</v>
      </c>
      <c r="F2" s="13" t="s">
        <v>28</v>
      </c>
      <c r="G2" s="70" t="s">
        <v>30</v>
      </c>
      <c r="I2" s="14" t="s">
        <v>99</v>
      </c>
      <c r="J2" s="71"/>
      <c r="K2" s="12" t="s">
        <v>103</v>
      </c>
      <c r="L2" s="12" t="s">
        <v>104</v>
      </c>
      <c r="M2" s="71"/>
      <c r="O2" s="15" t="s">
        <v>32</v>
      </c>
      <c r="P2" s="15" t="s">
        <v>169</v>
      </c>
      <c r="Q2" s="15" t="s">
        <v>170</v>
      </c>
      <c r="S2" s="21">
        <v>1</v>
      </c>
      <c r="T2" s="21">
        <f>IF(C4=0,1,IF(OR(D4&gt;0,E4&lt;&gt;0),2,0))</f>
        <v>1</v>
      </c>
      <c r="U2" s="22" t="str">
        <f t="shared" ref="U2:Z2" si="0">B4</f>
        <v>1.060 </v>
      </c>
      <c r="V2" s="22">
        <f t="shared" si="0"/>
        <v>0</v>
      </c>
      <c r="W2" s="22" t="str">
        <f t="shared" si="0"/>
        <v>232.4 </v>
      </c>
      <c r="X2" s="22" t="str">
        <f t="shared" si="0"/>
        <v>- 16.9 </v>
      </c>
      <c r="Y2" s="22">
        <f t="shared" si="0"/>
        <v>0</v>
      </c>
      <c r="Z2" s="22">
        <f t="shared" si="0"/>
        <v>0</v>
      </c>
      <c r="AD2" s="30">
        <v>1</v>
      </c>
      <c r="AE2" s="9">
        <v>2</v>
      </c>
      <c r="AF2" s="9" t="str">
        <f>K3</f>
        <v>0.01938 </v>
      </c>
      <c r="AG2" s="9" t="str">
        <f>L3</f>
        <v>0.05917 </v>
      </c>
      <c r="AH2" s="29">
        <f>2*M3</f>
        <v>5.28E-2</v>
      </c>
      <c r="AI2" s="9">
        <v>1</v>
      </c>
    </row>
    <row r="3" spans="1:35" ht="16.2" thickBot="1" x14ac:dyDescent="0.35">
      <c r="A3" s="71"/>
      <c r="B3" s="71"/>
      <c r="C3" s="71"/>
      <c r="D3" s="14" t="s">
        <v>29</v>
      </c>
      <c r="E3" s="71"/>
      <c r="F3" s="14" t="s">
        <v>29</v>
      </c>
      <c r="G3" s="71"/>
      <c r="I3" s="15" t="s">
        <v>32</v>
      </c>
      <c r="J3" s="15" t="s">
        <v>105</v>
      </c>
      <c r="K3" s="15" t="s">
        <v>106</v>
      </c>
      <c r="L3" s="15" t="s">
        <v>107</v>
      </c>
      <c r="M3" s="25">
        <v>2.64E-2</v>
      </c>
      <c r="O3" s="15" t="s">
        <v>36</v>
      </c>
      <c r="P3" s="15" t="s">
        <v>171</v>
      </c>
      <c r="Q3" s="15" t="s">
        <v>172</v>
      </c>
      <c r="S3" s="21">
        <v>2</v>
      </c>
      <c r="T3" s="21">
        <f>IF(C5=0,1,IF(OR(D5&gt;0,E5&lt;&gt;0),2,0))</f>
        <v>2</v>
      </c>
      <c r="U3" s="22" t="str">
        <f t="shared" ref="U3:U15" si="1">B5</f>
        <v>1.045 </v>
      </c>
      <c r="V3" s="22">
        <f t="shared" ref="V3:V15" si="2">C5</f>
        <v>-4.9800000000000004</v>
      </c>
      <c r="W3" s="22" t="str">
        <f t="shared" ref="W3:W15" si="3">D5</f>
        <v>40.0 </v>
      </c>
      <c r="X3" s="22" t="str">
        <f t="shared" ref="X3:X15" si="4">E5</f>
        <v>42.4 </v>
      </c>
      <c r="Y3" s="22" t="str">
        <f t="shared" ref="Y3:Y15" si="5">F5</f>
        <v>21.7 </v>
      </c>
      <c r="Z3" s="22" t="str">
        <f t="shared" ref="Z3:Z15" si="6">G5</f>
        <v>12.7 </v>
      </c>
      <c r="AD3" s="30">
        <v>2</v>
      </c>
      <c r="AE3" s="9">
        <v>3</v>
      </c>
      <c r="AF3" s="9" t="str">
        <f t="shared" ref="AF3:AF21" si="7">K4</f>
        <v>0.04699 </v>
      </c>
      <c r="AG3" s="9" t="str">
        <f t="shared" ref="AG3:AG21" si="8">L4</f>
        <v>0.19797 </v>
      </c>
      <c r="AH3" s="29">
        <f t="shared" ref="AH3:AH21" si="9">2*M4</f>
        <v>4.3799999999999999E-2</v>
      </c>
      <c r="AI3" s="9">
        <v>1</v>
      </c>
    </row>
    <row r="4" spans="1:35" ht="16.2" thickBot="1" x14ac:dyDescent="0.35">
      <c r="A4" s="15" t="s">
        <v>32</v>
      </c>
      <c r="B4" s="19" t="s">
        <v>33</v>
      </c>
      <c r="C4" s="19">
        <v>0</v>
      </c>
      <c r="D4" s="19" t="s">
        <v>34</v>
      </c>
      <c r="E4" s="20" t="s">
        <v>35</v>
      </c>
      <c r="F4" s="19">
        <v>0</v>
      </c>
      <c r="G4" s="19">
        <v>0</v>
      </c>
      <c r="I4" s="15" t="s">
        <v>36</v>
      </c>
      <c r="J4" s="15" t="s">
        <v>108</v>
      </c>
      <c r="K4" s="15" t="s">
        <v>109</v>
      </c>
      <c r="L4" s="15" t="s">
        <v>110</v>
      </c>
      <c r="M4" s="25">
        <v>2.1899999999999999E-2</v>
      </c>
      <c r="O4" s="15" t="s">
        <v>42</v>
      </c>
      <c r="P4" s="15" t="s">
        <v>173</v>
      </c>
      <c r="Q4" s="15" t="s">
        <v>174</v>
      </c>
      <c r="S4" s="21">
        <v>3</v>
      </c>
      <c r="T4" s="21">
        <f t="shared" ref="T4:T15" si="10">IF(C6=0,1,IF(OR(D6&gt;0,E6&lt;&gt;0),2,0))</f>
        <v>2</v>
      </c>
      <c r="U4" s="22" t="str">
        <f t="shared" si="1"/>
        <v>1.010 </v>
      </c>
      <c r="V4" s="22" t="str">
        <f t="shared" si="2"/>
        <v>-12.72 </v>
      </c>
      <c r="W4" s="22">
        <f t="shared" si="3"/>
        <v>0</v>
      </c>
      <c r="X4" s="22" t="str">
        <f t="shared" si="4"/>
        <v>23.4 </v>
      </c>
      <c r="Y4" s="22" t="str">
        <f t="shared" si="5"/>
        <v>94.2 </v>
      </c>
      <c r="Z4" s="22" t="str">
        <f t="shared" si="6"/>
        <v>19.0 </v>
      </c>
      <c r="AD4" s="30">
        <v>2</v>
      </c>
      <c r="AE4" s="9">
        <v>4</v>
      </c>
      <c r="AF4" s="9" t="str">
        <f t="shared" si="7"/>
        <v>0.05811 </v>
      </c>
      <c r="AG4" s="9" t="str">
        <f t="shared" si="8"/>
        <v>0.17632 </v>
      </c>
      <c r="AH4" s="29">
        <f t="shared" si="9"/>
        <v>3.7400000000000003E-2</v>
      </c>
      <c r="AI4" s="9">
        <v>1</v>
      </c>
    </row>
    <row r="5" spans="1:35" ht="16.2" thickBot="1" x14ac:dyDescent="0.35">
      <c r="A5" s="15" t="s">
        <v>36</v>
      </c>
      <c r="B5" s="19" t="s">
        <v>37</v>
      </c>
      <c r="C5" s="19">
        <v>-4.9800000000000004</v>
      </c>
      <c r="D5" s="19" t="s">
        <v>38</v>
      </c>
      <c r="E5" s="19" t="s">
        <v>39</v>
      </c>
      <c r="F5" s="19" t="s">
        <v>40</v>
      </c>
      <c r="G5" s="19" t="s">
        <v>41</v>
      </c>
      <c r="I5" s="15" t="s">
        <v>42</v>
      </c>
      <c r="J5" s="15" t="s">
        <v>111</v>
      </c>
      <c r="K5" s="15" t="s">
        <v>112</v>
      </c>
      <c r="L5" s="15" t="s">
        <v>113</v>
      </c>
      <c r="M5" s="25">
        <v>1.8700000000000001E-2</v>
      </c>
      <c r="S5" s="21">
        <v>4</v>
      </c>
      <c r="T5" s="21">
        <f>IF(C7=0,1,IF(OR(D7&gt;0,E7&lt;&gt;0),2,0))</f>
        <v>0</v>
      </c>
      <c r="U5" s="22" t="str">
        <f t="shared" si="1"/>
        <v>1.019 </v>
      </c>
      <c r="V5" s="22" t="str">
        <f t="shared" si="2"/>
        <v>- 10.33 </v>
      </c>
      <c r="W5" s="22">
        <f t="shared" si="3"/>
        <v>0</v>
      </c>
      <c r="X5" s="22">
        <f t="shared" si="4"/>
        <v>0</v>
      </c>
      <c r="Y5" s="22" t="str">
        <f t="shared" si="5"/>
        <v>47.8 </v>
      </c>
      <c r="Z5" s="22" t="str">
        <f t="shared" si="6"/>
        <v>3.9 </v>
      </c>
      <c r="AD5" s="30">
        <v>1</v>
      </c>
      <c r="AE5" s="9">
        <v>5</v>
      </c>
      <c r="AF5" s="9" t="str">
        <f t="shared" si="7"/>
        <v>0.05403 </v>
      </c>
      <c r="AG5" s="9" t="str">
        <f t="shared" si="8"/>
        <v>0.22304 </v>
      </c>
      <c r="AH5" s="29">
        <f t="shared" si="9"/>
        <v>4.922E-2</v>
      </c>
      <c r="AI5" s="9">
        <v>1</v>
      </c>
    </row>
    <row r="6" spans="1:35" ht="16.2" thickBot="1" x14ac:dyDescent="0.35">
      <c r="A6" s="15" t="s">
        <v>42</v>
      </c>
      <c r="B6" s="19" t="s">
        <v>43</v>
      </c>
      <c r="C6" s="20" t="s">
        <v>175</v>
      </c>
      <c r="D6" s="20">
        <v>0</v>
      </c>
      <c r="E6" s="19" t="s">
        <v>44</v>
      </c>
      <c r="F6" s="19" t="s">
        <v>45</v>
      </c>
      <c r="G6" s="19" t="s">
        <v>46</v>
      </c>
      <c r="I6" s="15" t="s">
        <v>47</v>
      </c>
      <c r="J6" s="15" t="s">
        <v>114</v>
      </c>
      <c r="K6" s="15" t="s">
        <v>115</v>
      </c>
      <c r="L6" s="15" t="s">
        <v>116</v>
      </c>
      <c r="M6" s="25">
        <v>2.461E-2</v>
      </c>
      <c r="S6" s="21">
        <v>5</v>
      </c>
      <c r="T6" s="21">
        <f t="shared" si="10"/>
        <v>0</v>
      </c>
      <c r="U6" s="22" t="str">
        <f t="shared" si="1"/>
        <v>1.020 </v>
      </c>
      <c r="V6" s="22" t="str">
        <f t="shared" si="2"/>
        <v>- 8.78 </v>
      </c>
      <c r="W6" s="22">
        <f t="shared" si="3"/>
        <v>0</v>
      </c>
      <c r="X6" s="22">
        <f t="shared" si="4"/>
        <v>0</v>
      </c>
      <c r="Y6" s="22" t="str">
        <f t="shared" si="5"/>
        <v>7.6 </v>
      </c>
      <c r="Z6" s="22" t="str">
        <f t="shared" si="6"/>
        <v>1.6 </v>
      </c>
      <c r="AD6" s="30">
        <v>2</v>
      </c>
      <c r="AE6" s="9">
        <v>5</v>
      </c>
      <c r="AF6" s="9" t="str">
        <f t="shared" si="7"/>
        <v>0.05695 </v>
      </c>
      <c r="AG6" s="9" t="str">
        <f t="shared" si="8"/>
        <v>0.17388 </v>
      </c>
      <c r="AH6" s="29">
        <f t="shared" si="9"/>
        <v>3.4000000000000002E-2</v>
      </c>
      <c r="AI6" s="9">
        <v>1</v>
      </c>
    </row>
    <row r="7" spans="1:35" ht="16.2" thickBot="1" x14ac:dyDescent="0.35">
      <c r="A7" s="15" t="s">
        <v>47</v>
      </c>
      <c r="B7" s="19" t="s">
        <v>48</v>
      </c>
      <c r="C7" s="20" t="s">
        <v>49</v>
      </c>
      <c r="D7" s="19">
        <v>0</v>
      </c>
      <c r="E7" s="19">
        <v>0</v>
      </c>
      <c r="F7" s="19" t="s">
        <v>50</v>
      </c>
      <c r="G7" s="19" t="s">
        <v>51</v>
      </c>
      <c r="I7" s="15" t="s">
        <v>52</v>
      </c>
      <c r="J7" s="15" t="s">
        <v>117</v>
      </c>
      <c r="K7" s="15" t="s">
        <v>118</v>
      </c>
      <c r="L7" s="15" t="s">
        <v>119</v>
      </c>
      <c r="M7" s="25">
        <v>1.7000000000000001E-2</v>
      </c>
      <c r="S7" s="21">
        <v>6</v>
      </c>
      <c r="T7" s="21">
        <f t="shared" si="10"/>
        <v>2</v>
      </c>
      <c r="U7" s="22" t="str">
        <f t="shared" si="1"/>
        <v>1.070 </v>
      </c>
      <c r="V7" s="22" t="str">
        <f t="shared" si="2"/>
        <v>- 14.22 </v>
      </c>
      <c r="W7" s="22">
        <f t="shared" si="3"/>
        <v>0</v>
      </c>
      <c r="X7" s="22" t="str">
        <f t="shared" si="4"/>
        <v>12.2 </v>
      </c>
      <c r="Y7" s="22" t="str">
        <f t="shared" si="5"/>
        <v>11.2 </v>
      </c>
      <c r="Z7" s="22" t="str">
        <f t="shared" si="6"/>
        <v>7.5 </v>
      </c>
      <c r="AD7" s="30">
        <v>3</v>
      </c>
      <c r="AE7" s="9">
        <v>4</v>
      </c>
      <c r="AF7" s="9" t="str">
        <f t="shared" si="7"/>
        <v>0.06701 </v>
      </c>
      <c r="AG7" s="9" t="str">
        <f t="shared" si="8"/>
        <v>0.17103 </v>
      </c>
      <c r="AH7" s="29">
        <f t="shared" si="9"/>
        <v>3.4599999999999999E-2</v>
      </c>
      <c r="AI7" s="9">
        <v>1</v>
      </c>
    </row>
    <row r="8" spans="1:35" ht="16.2" thickBot="1" x14ac:dyDescent="0.35">
      <c r="A8" s="15" t="s">
        <v>52</v>
      </c>
      <c r="B8" s="19" t="s">
        <v>53</v>
      </c>
      <c r="C8" s="20" t="s">
        <v>54</v>
      </c>
      <c r="D8" s="19">
        <v>0</v>
      </c>
      <c r="E8" s="19">
        <v>0</v>
      </c>
      <c r="F8" s="19" t="s">
        <v>55</v>
      </c>
      <c r="G8" s="19" t="s">
        <v>56</v>
      </c>
      <c r="I8" s="15" t="s">
        <v>57</v>
      </c>
      <c r="J8" s="15" t="s">
        <v>120</v>
      </c>
      <c r="K8" s="15" t="s">
        <v>121</v>
      </c>
      <c r="L8" s="15" t="s">
        <v>122</v>
      </c>
      <c r="M8" s="25">
        <v>1.7299999999999999E-2</v>
      </c>
      <c r="S8" s="21">
        <v>7</v>
      </c>
      <c r="T8" s="21">
        <f t="shared" si="10"/>
        <v>0</v>
      </c>
      <c r="U8" s="22" t="str">
        <f t="shared" si="1"/>
        <v>1.062 </v>
      </c>
      <c r="V8" s="22" t="str">
        <f t="shared" si="2"/>
        <v>- 13.37 </v>
      </c>
      <c r="W8" s="22">
        <f t="shared" si="3"/>
        <v>0</v>
      </c>
      <c r="X8" s="22">
        <f t="shared" si="4"/>
        <v>0</v>
      </c>
      <c r="Y8" s="22">
        <f t="shared" si="5"/>
        <v>0</v>
      </c>
      <c r="Z8" s="22">
        <f t="shared" si="6"/>
        <v>0</v>
      </c>
      <c r="AD8" s="30">
        <v>4</v>
      </c>
      <c r="AE8" s="9">
        <v>5</v>
      </c>
      <c r="AF8" s="9" t="str">
        <f t="shared" si="7"/>
        <v>0.01335 </v>
      </c>
      <c r="AG8" s="9" t="str">
        <f t="shared" si="8"/>
        <v>0.04211 </v>
      </c>
      <c r="AH8" s="29">
        <f t="shared" si="9"/>
        <v>1.2800000000000001E-2</v>
      </c>
      <c r="AI8" s="9">
        <v>1</v>
      </c>
    </row>
    <row r="9" spans="1:35" ht="16.2" thickBot="1" x14ac:dyDescent="0.35">
      <c r="A9" s="15" t="s">
        <v>57</v>
      </c>
      <c r="B9" s="19" t="s">
        <v>58</v>
      </c>
      <c r="C9" s="20" t="s">
        <v>59</v>
      </c>
      <c r="D9" s="19">
        <v>0</v>
      </c>
      <c r="E9" s="19" t="s">
        <v>60</v>
      </c>
      <c r="F9" s="19" t="s">
        <v>61</v>
      </c>
      <c r="G9" s="19" t="s">
        <v>62</v>
      </c>
      <c r="I9" s="15" t="s">
        <v>63</v>
      </c>
      <c r="J9" s="15" t="s">
        <v>123</v>
      </c>
      <c r="K9" s="15" t="s">
        <v>124</v>
      </c>
      <c r="L9" s="15" t="s">
        <v>125</v>
      </c>
      <c r="M9" s="25">
        <v>6.4000000000000003E-3</v>
      </c>
      <c r="S9" s="21">
        <v>8</v>
      </c>
      <c r="T9" s="21">
        <f t="shared" si="10"/>
        <v>2</v>
      </c>
      <c r="U9" s="22" t="str">
        <f t="shared" si="1"/>
        <v>1.090 </v>
      </c>
      <c r="V9" s="22" t="str">
        <f t="shared" si="2"/>
        <v>- 13.36 </v>
      </c>
      <c r="W9" s="22">
        <f t="shared" si="3"/>
        <v>0</v>
      </c>
      <c r="X9" s="22" t="str">
        <f t="shared" si="4"/>
        <v>17.4 </v>
      </c>
      <c r="Y9" s="22">
        <f t="shared" si="5"/>
        <v>0</v>
      </c>
      <c r="Z9" s="22">
        <f t="shared" si="6"/>
        <v>0</v>
      </c>
      <c r="AD9" s="30">
        <v>5</v>
      </c>
      <c r="AE9" s="9">
        <v>6</v>
      </c>
      <c r="AF9" s="9">
        <f t="shared" si="7"/>
        <v>0</v>
      </c>
      <c r="AG9" s="9" t="str">
        <f t="shared" si="8"/>
        <v>0.25202 </v>
      </c>
      <c r="AH9" s="29">
        <f t="shared" si="9"/>
        <v>0</v>
      </c>
      <c r="AI9" s="9">
        <v>0.93200000000000005</v>
      </c>
    </row>
    <row r="10" spans="1:35" ht="16.2" thickBot="1" x14ac:dyDescent="0.35">
      <c r="A10" s="15" t="s">
        <v>63</v>
      </c>
      <c r="B10" s="19" t="s">
        <v>64</v>
      </c>
      <c r="C10" s="20" t="s">
        <v>65</v>
      </c>
      <c r="D10" s="19">
        <v>0</v>
      </c>
      <c r="E10" s="19">
        <v>0</v>
      </c>
      <c r="F10" s="19">
        <v>0</v>
      </c>
      <c r="G10" s="19">
        <v>0</v>
      </c>
      <c r="I10" s="15" t="s">
        <v>66</v>
      </c>
      <c r="J10" s="15" t="s">
        <v>126</v>
      </c>
      <c r="K10" s="15">
        <v>0</v>
      </c>
      <c r="L10" s="15" t="s">
        <v>127</v>
      </c>
      <c r="M10" s="19">
        <v>0</v>
      </c>
      <c r="S10" s="21">
        <v>9</v>
      </c>
      <c r="T10" s="21">
        <f t="shared" si="10"/>
        <v>0</v>
      </c>
      <c r="U10" s="22" t="str">
        <f t="shared" si="1"/>
        <v>1.056 </v>
      </c>
      <c r="V10" s="22" t="str">
        <f t="shared" si="2"/>
        <v>- 14.94 </v>
      </c>
      <c r="W10" s="22">
        <f t="shared" si="3"/>
        <v>0</v>
      </c>
      <c r="X10" s="22">
        <f t="shared" si="4"/>
        <v>0</v>
      </c>
      <c r="Y10" s="22" t="str">
        <f t="shared" si="5"/>
        <v>29.5 </v>
      </c>
      <c r="Z10" s="22" t="str">
        <f t="shared" si="6"/>
        <v>16.6 </v>
      </c>
      <c r="AD10" s="30">
        <v>4</v>
      </c>
      <c r="AE10" s="9">
        <v>7</v>
      </c>
      <c r="AF10" s="9">
        <f t="shared" si="7"/>
        <v>0</v>
      </c>
      <c r="AG10" s="9" t="str">
        <f t="shared" si="8"/>
        <v>0.20912 </v>
      </c>
      <c r="AH10" s="29">
        <f t="shared" si="9"/>
        <v>0</v>
      </c>
      <c r="AI10" s="9">
        <v>0.97799999999999998</v>
      </c>
    </row>
    <row r="11" spans="1:35" ht="16.2" thickBot="1" x14ac:dyDescent="0.35">
      <c r="A11" s="15" t="s">
        <v>66</v>
      </c>
      <c r="B11" s="19" t="s">
        <v>67</v>
      </c>
      <c r="C11" s="20" t="s">
        <v>68</v>
      </c>
      <c r="D11" s="19">
        <v>0</v>
      </c>
      <c r="E11" s="19" t="s">
        <v>69</v>
      </c>
      <c r="F11" s="19">
        <v>0</v>
      </c>
      <c r="G11" s="19">
        <v>0</v>
      </c>
      <c r="I11" s="15" t="s">
        <v>70</v>
      </c>
      <c r="J11" s="15" t="s">
        <v>128</v>
      </c>
      <c r="K11" s="15">
        <v>0</v>
      </c>
      <c r="L11" s="15" t="s">
        <v>129</v>
      </c>
      <c r="M11" s="19">
        <v>0</v>
      </c>
      <c r="S11" s="21">
        <v>10</v>
      </c>
      <c r="T11" s="21">
        <f t="shared" si="10"/>
        <v>0</v>
      </c>
      <c r="U11" s="22" t="str">
        <f t="shared" si="1"/>
        <v>1.051 </v>
      </c>
      <c r="V11" s="22" t="str">
        <f t="shared" si="2"/>
        <v>- 15.10 </v>
      </c>
      <c r="W11" s="22">
        <f t="shared" si="3"/>
        <v>0</v>
      </c>
      <c r="X11" s="22">
        <f t="shared" si="4"/>
        <v>0</v>
      </c>
      <c r="Y11" s="22" t="str">
        <f t="shared" si="5"/>
        <v>9.0 </v>
      </c>
      <c r="Z11" s="22" t="str">
        <f t="shared" si="6"/>
        <v>5.8 </v>
      </c>
      <c r="AD11" s="30">
        <v>7</v>
      </c>
      <c r="AE11" s="9">
        <v>8</v>
      </c>
      <c r="AF11" s="9">
        <f t="shared" si="7"/>
        <v>0</v>
      </c>
      <c r="AG11" s="9" t="str">
        <f t="shared" si="8"/>
        <v>0.17615 </v>
      </c>
      <c r="AH11" s="29">
        <f t="shared" si="9"/>
        <v>0</v>
      </c>
      <c r="AI11" s="9">
        <v>1</v>
      </c>
    </row>
    <row r="12" spans="1:35" ht="16.2" thickBot="1" x14ac:dyDescent="0.35">
      <c r="A12" s="15" t="s">
        <v>70</v>
      </c>
      <c r="B12" s="19" t="s">
        <v>71</v>
      </c>
      <c r="C12" s="20" t="s">
        <v>72</v>
      </c>
      <c r="D12" s="19">
        <v>0</v>
      </c>
      <c r="E12" s="19">
        <v>0</v>
      </c>
      <c r="F12" s="19" t="s">
        <v>73</v>
      </c>
      <c r="G12" s="19" t="s">
        <v>74</v>
      </c>
      <c r="I12" s="15" t="s">
        <v>75</v>
      </c>
      <c r="J12" s="15" t="s">
        <v>130</v>
      </c>
      <c r="K12" s="15">
        <v>0</v>
      </c>
      <c r="L12" s="15" t="s">
        <v>131</v>
      </c>
      <c r="M12" s="19">
        <v>0</v>
      </c>
      <c r="S12" s="21">
        <v>11</v>
      </c>
      <c r="T12" s="21">
        <f t="shared" si="10"/>
        <v>0</v>
      </c>
      <c r="U12" s="22" t="str">
        <f t="shared" si="1"/>
        <v>1.057 </v>
      </c>
      <c r="V12" s="22" t="str">
        <f t="shared" si="2"/>
        <v>- 14.79 </v>
      </c>
      <c r="W12" s="22">
        <f t="shared" si="3"/>
        <v>0</v>
      </c>
      <c r="X12" s="22">
        <f t="shared" si="4"/>
        <v>0</v>
      </c>
      <c r="Y12" s="22" t="str">
        <f t="shared" si="5"/>
        <v>3.5 </v>
      </c>
      <c r="Z12" s="22" t="str">
        <f t="shared" si="6"/>
        <v>1.8 </v>
      </c>
      <c r="AD12" s="30">
        <v>4</v>
      </c>
      <c r="AE12" s="9">
        <v>9</v>
      </c>
      <c r="AF12" s="9">
        <f t="shared" si="7"/>
        <v>0</v>
      </c>
      <c r="AG12" s="9" t="str">
        <f t="shared" si="8"/>
        <v>0.55618 </v>
      </c>
      <c r="AH12" s="29">
        <f t="shared" si="9"/>
        <v>0</v>
      </c>
      <c r="AI12" s="9">
        <v>0.96899999999999997</v>
      </c>
    </row>
    <row r="13" spans="1:35" ht="16.2" thickBot="1" x14ac:dyDescent="0.35">
      <c r="A13" s="15" t="s">
        <v>75</v>
      </c>
      <c r="B13" s="19" t="s">
        <v>76</v>
      </c>
      <c r="C13" s="20" t="s">
        <v>77</v>
      </c>
      <c r="D13" s="19">
        <v>0</v>
      </c>
      <c r="E13" s="19">
        <v>0</v>
      </c>
      <c r="F13" s="19" t="s">
        <v>78</v>
      </c>
      <c r="G13" s="19" t="s">
        <v>79</v>
      </c>
      <c r="I13" s="15" t="s">
        <v>80</v>
      </c>
      <c r="J13" s="15" t="s">
        <v>132</v>
      </c>
      <c r="K13" s="15">
        <v>0</v>
      </c>
      <c r="L13" s="15" t="s">
        <v>133</v>
      </c>
      <c r="M13" s="19">
        <v>0</v>
      </c>
      <c r="S13" s="21">
        <v>12</v>
      </c>
      <c r="T13" s="21">
        <f t="shared" si="10"/>
        <v>0</v>
      </c>
      <c r="U13" s="22" t="str">
        <f t="shared" si="1"/>
        <v>1.055 </v>
      </c>
      <c r="V13" s="22" t="str">
        <f t="shared" si="2"/>
        <v>- 18.07 </v>
      </c>
      <c r="W13" s="22">
        <f t="shared" si="3"/>
        <v>0</v>
      </c>
      <c r="X13" s="22">
        <f t="shared" si="4"/>
        <v>0</v>
      </c>
      <c r="Y13" s="22" t="str">
        <f t="shared" si="5"/>
        <v>6.1 </v>
      </c>
      <c r="Z13" s="22" t="str">
        <f t="shared" si="6"/>
        <v>1.6 </v>
      </c>
      <c r="AD13" s="30">
        <v>7</v>
      </c>
      <c r="AE13" s="9">
        <v>9</v>
      </c>
      <c r="AF13" s="9">
        <f t="shared" si="7"/>
        <v>0</v>
      </c>
      <c r="AG13" s="9" t="str">
        <f t="shared" si="8"/>
        <v>0.11001 </v>
      </c>
      <c r="AH13" s="29">
        <f t="shared" si="9"/>
        <v>0</v>
      </c>
      <c r="AI13" s="9">
        <v>1</v>
      </c>
    </row>
    <row r="14" spans="1:35" ht="16.2" thickBot="1" x14ac:dyDescent="0.35">
      <c r="A14" s="15" t="s">
        <v>80</v>
      </c>
      <c r="B14" s="19" t="s">
        <v>81</v>
      </c>
      <c r="C14" s="20" t="s">
        <v>82</v>
      </c>
      <c r="D14" s="19">
        <v>0</v>
      </c>
      <c r="E14" s="19">
        <v>0</v>
      </c>
      <c r="F14" s="19" t="s">
        <v>83</v>
      </c>
      <c r="G14" s="19" t="s">
        <v>84</v>
      </c>
      <c r="I14" s="15" t="s">
        <v>85</v>
      </c>
      <c r="J14" s="15" t="s">
        <v>134</v>
      </c>
      <c r="K14" s="15">
        <v>0</v>
      </c>
      <c r="L14" s="15" t="s">
        <v>135</v>
      </c>
      <c r="M14" s="19">
        <v>0</v>
      </c>
      <c r="S14" s="21">
        <v>13</v>
      </c>
      <c r="T14" s="21">
        <f t="shared" si="10"/>
        <v>0</v>
      </c>
      <c r="U14" s="22" t="str">
        <f t="shared" si="1"/>
        <v>1.050 </v>
      </c>
      <c r="V14" s="22" t="str">
        <f t="shared" si="2"/>
        <v>- 15.16 </v>
      </c>
      <c r="W14" s="22">
        <f t="shared" si="3"/>
        <v>0</v>
      </c>
      <c r="X14" s="22">
        <f t="shared" si="4"/>
        <v>0</v>
      </c>
      <c r="Y14" s="22" t="str">
        <f t="shared" si="5"/>
        <v>13.5 </v>
      </c>
      <c r="Z14" s="22" t="str">
        <f t="shared" si="6"/>
        <v>5.8 </v>
      </c>
      <c r="AD14" s="30">
        <v>9</v>
      </c>
      <c r="AE14" s="9">
        <v>10</v>
      </c>
      <c r="AF14" s="9" t="str">
        <f t="shared" si="7"/>
        <v>0.03181 </v>
      </c>
      <c r="AG14" s="9" t="str">
        <f t="shared" si="8"/>
        <v>0.08450 </v>
      </c>
      <c r="AH14" s="29">
        <f t="shared" si="9"/>
        <v>0</v>
      </c>
      <c r="AI14" s="9">
        <v>1</v>
      </c>
    </row>
    <row r="15" spans="1:35" ht="16.2" thickBot="1" x14ac:dyDescent="0.35">
      <c r="A15" s="15" t="s">
        <v>85</v>
      </c>
      <c r="B15" s="19" t="s">
        <v>86</v>
      </c>
      <c r="C15" s="20" t="s">
        <v>87</v>
      </c>
      <c r="D15" s="19">
        <v>0</v>
      </c>
      <c r="E15" s="19">
        <v>0</v>
      </c>
      <c r="F15" s="19" t="s">
        <v>88</v>
      </c>
      <c r="G15" s="19" t="s">
        <v>56</v>
      </c>
      <c r="I15" s="15" t="s">
        <v>89</v>
      </c>
      <c r="J15" s="15" t="s">
        <v>136</v>
      </c>
      <c r="K15" s="15" t="s">
        <v>137</v>
      </c>
      <c r="L15" s="15" t="s">
        <v>138</v>
      </c>
      <c r="M15" s="19">
        <v>0</v>
      </c>
      <c r="S15" s="21">
        <v>14</v>
      </c>
      <c r="T15" s="23">
        <f t="shared" si="10"/>
        <v>0</v>
      </c>
      <c r="U15" s="24" t="str">
        <f t="shared" si="1"/>
        <v>1.036 </v>
      </c>
      <c r="V15" s="24" t="str">
        <f t="shared" si="2"/>
        <v>- 16.04 </v>
      </c>
      <c r="W15" s="24">
        <f t="shared" si="3"/>
        <v>0</v>
      </c>
      <c r="X15" s="24">
        <f t="shared" si="4"/>
        <v>0</v>
      </c>
      <c r="Y15" s="24" t="str">
        <f t="shared" si="5"/>
        <v>14.9 </v>
      </c>
      <c r="Z15" s="24" t="str">
        <f t="shared" si="6"/>
        <v>5.0 </v>
      </c>
      <c r="AD15" s="30">
        <v>6</v>
      </c>
      <c r="AE15" s="9">
        <v>11</v>
      </c>
      <c r="AF15" s="9" t="str">
        <f t="shared" si="7"/>
        <v>0.09498 </v>
      </c>
      <c r="AG15" s="9" t="str">
        <f t="shared" si="8"/>
        <v>0.19890 </v>
      </c>
      <c r="AH15" s="29">
        <f t="shared" si="9"/>
        <v>0</v>
      </c>
      <c r="AI15" s="9">
        <v>1</v>
      </c>
    </row>
    <row r="16" spans="1:35" ht="16.2" thickBot="1" x14ac:dyDescent="0.35">
      <c r="A16" s="15" t="s">
        <v>89</v>
      </c>
      <c r="B16" s="19" t="s">
        <v>90</v>
      </c>
      <c r="C16" s="20" t="s">
        <v>91</v>
      </c>
      <c r="D16" s="19">
        <v>0</v>
      </c>
      <c r="E16" s="19">
        <v>0</v>
      </c>
      <c r="F16" s="19" t="s">
        <v>92</v>
      </c>
      <c r="G16" s="19" t="s">
        <v>79</v>
      </c>
      <c r="I16" s="15" t="s">
        <v>93</v>
      </c>
      <c r="J16" s="15" t="s">
        <v>139</v>
      </c>
      <c r="K16" s="15" t="s">
        <v>140</v>
      </c>
      <c r="L16" s="15" t="s">
        <v>141</v>
      </c>
      <c r="M16" s="19">
        <v>0</v>
      </c>
      <c r="U16" s="18"/>
      <c r="AD16" s="30">
        <v>6</v>
      </c>
      <c r="AE16" s="9">
        <v>12</v>
      </c>
      <c r="AF16" s="9" t="str">
        <f t="shared" si="7"/>
        <v>0.12291 </v>
      </c>
      <c r="AG16" s="9" t="str">
        <f t="shared" si="8"/>
        <v>0.25581 </v>
      </c>
      <c r="AH16" s="29">
        <f t="shared" si="9"/>
        <v>0</v>
      </c>
      <c r="AI16" s="9">
        <v>1</v>
      </c>
    </row>
    <row r="17" spans="1:35" ht="16.2" thickBot="1" x14ac:dyDescent="0.35">
      <c r="A17" s="15" t="s">
        <v>93</v>
      </c>
      <c r="B17" s="19" t="s">
        <v>94</v>
      </c>
      <c r="C17" s="20" t="s">
        <v>95</v>
      </c>
      <c r="D17" s="19">
        <v>0</v>
      </c>
      <c r="E17" s="19">
        <v>0</v>
      </c>
      <c r="F17" s="19" t="s">
        <v>96</v>
      </c>
      <c r="G17" s="19" t="s">
        <v>97</v>
      </c>
      <c r="I17" s="15" t="s">
        <v>142</v>
      </c>
      <c r="J17" s="15" t="s">
        <v>143</v>
      </c>
      <c r="K17" s="15" t="s">
        <v>144</v>
      </c>
      <c r="L17" s="15" t="s">
        <v>145</v>
      </c>
      <c r="M17" s="19">
        <v>0</v>
      </c>
      <c r="AD17" s="30">
        <v>6</v>
      </c>
      <c r="AE17" s="9">
        <v>13</v>
      </c>
      <c r="AF17" s="9" t="str">
        <f t="shared" si="7"/>
        <v>0.06615 </v>
      </c>
      <c r="AG17" s="9" t="str">
        <f t="shared" si="8"/>
        <v>0.13027 </v>
      </c>
      <c r="AH17" s="29">
        <f t="shared" si="9"/>
        <v>0</v>
      </c>
      <c r="AI17" s="9">
        <v>1</v>
      </c>
    </row>
    <row r="18" spans="1:35" ht="16.2" thickBot="1" x14ac:dyDescent="0.35">
      <c r="I18" s="15" t="s">
        <v>146</v>
      </c>
      <c r="J18" s="15" t="s">
        <v>147</v>
      </c>
      <c r="K18" s="15" t="s">
        <v>148</v>
      </c>
      <c r="L18" s="15" t="s">
        <v>149</v>
      </c>
      <c r="M18" s="19">
        <v>0</v>
      </c>
      <c r="AD18" s="30">
        <v>9</v>
      </c>
      <c r="AE18" s="9">
        <v>14</v>
      </c>
      <c r="AF18" s="9" t="str">
        <f t="shared" si="7"/>
        <v>0.12711 </v>
      </c>
      <c r="AG18" s="9" t="str">
        <f t="shared" si="8"/>
        <v>0.27038 </v>
      </c>
      <c r="AH18" s="29">
        <f t="shared" si="9"/>
        <v>0</v>
      </c>
      <c r="AI18" s="9">
        <v>1</v>
      </c>
    </row>
    <row r="19" spans="1:35" ht="16.2" thickBot="1" x14ac:dyDescent="0.35">
      <c r="I19" s="15" t="s">
        <v>150</v>
      </c>
      <c r="J19" s="15" t="s">
        <v>151</v>
      </c>
      <c r="K19" s="15" t="s">
        <v>152</v>
      </c>
      <c r="L19" s="15" t="s">
        <v>153</v>
      </c>
      <c r="M19" s="19">
        <v>0</v>
      </c>
      <c r="AD19" s="30">
        <v>10</v>
      </c>
      <c r="AE19" s="9">
        <v>11</v>
      </c>
      <c r="AF19" s="9" t="str">
        <f t="shared" si="7"/>
        <v>0.8205 </v>
      </c>
      <c r="AG19" s="9" t="str">
        <f t="shared" si="8"/>
        <v>0.19207 </v>
      </c>
      <c r="AH19" s="29">
        <f t="shared" si="9"/>
        <v>0</v>
      </c>
      <c r="AI19" s="9">
        <v>1</v>
      </c>
    </row>
    <row r="20" spans="1:35" ht="16.2" thickBot="1" x14ac:dyDescent="0.35">
      <c r="I20" s="15" t="s">
        <v>154</v>
      </c>
      <c r="J20" s="15" t="s">
        <v>155</v>
      </c>
      <c r="K20" s="15" t="s">
        <v>156</v>
      </c>
      <c r="L20" s="15" t="s">
        <v>157</v>
      </c>
      <c r="M20" s="19">
        <v>0</v>
      </c>
      <c r="AD20" s="30">
        <v>12</v>
      </c>
      <c r="AE20" s="9">
        <v>13</v>
      </c>
      <c r="AF20" s="9" t="str">
        <f t="shared" si="7"/>
        <v>0.22092 </v>
      </c>
      <c r="AG20" s="9" t="str">
        <f t="shared" si="8"/>
        <v>0.19988 </v>
      </c>
      <c r="AH20" s="29">
        <f t="shared" si="9"/>
        <v>0</v>
      </c>
      <c r="AI20" s="9">
        <v>1</v>
      </c>
    </row>
    <row r="21" spans="1:35" ht="16.2" thickBot="1" x14ac:dyDescent="0.35">
      <c r="I21" s="15" t="s">
        <v>158</v>
      </c>
      <c r="J21" s="15" t="s">
        <v>159</v>
      </c>
      <c r="K21" s="15" t="s">
        <v>160</v>
      </c>
      <c r="L21" s="15" t="s">
        <v>161</v>
      </c>
      <c r="M21" s="19">
        <v>0</v>
      </c>
      <c r="AD21" s="30">
        <v>13</v>
      </c>
      <c r="AE21" s="9">
        <v>14</v>
      </c>
      <c r="AF21" s="9" t="str">
        <f t="shared" si="7"/>
        <v>0.17093 </v>
      </c>
      <c r="AG21" s="9" t="str">
        <f t="shared" si="8"/>
        <v>0.34802 </v>
      </c>
      <c r="AH21" s="29">
        <f t="shared" si="9"/>
        <v>0</v>
      </c>
      <c r="AI21" s="9">
        <v>1</v>
      </c>
    </row>
    <row r="22" spans="1:35" ht="16.2" thickBot="1" x14ac:dyDescent="0.35">
      <c r="I22" s="15" t="s">
        <v>162</v>
      </c>
      <c r="J22" s="15" t="s">
        <v>163</v>
      </c>
      <c r="K22" s="15" t="s">
        <v>164</v>
      </c>
      <c r="L22" s="15" t="s">
        <v>165</v>
      </c>
      <c r="M22" s="19">
        <v>0</v>
      </c>
    </row>
    <row r="23" spans="1:35" x14ac:dyDescent="0.3">
      <c r="E23" s="18"/>
    </row>
  </sheetData>
  <mergeCells count="11">
    <mergeCell ref="A2:A3"/>
    <mergeCell ref="J1:J2"/>
    <mergeCell ref="B1:C1"/>
    <mergeCell ref="D1:E1"/>
    <mergeCell ref="F1:G1"/>
    <mergeCell ref="K1:L1"/>
    <mergeCell ref="M1:M2"/>
    <mergeCell ref="B2:B3"/>
    <mergeCell ref="C2:C3"/>
    <mergeCell ref="E2:E3"/>
    <mergeCell ref="G2:G3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2CF82-DDE2-496B-A12C-B0891F62FE72}">
  <dimension ref="A1:AA27"/>
  <sheetViews>
    <sheetView zoomScale="75" workbookViewId="0">
      <selection activeCell="T1" sqref="T1:AA15"/>
    </sheetView>
  </sheetViews>
  <sheetFormatPr defaultRowHeight="15.6" x14ac:dyDescent="0.3"/>
  <cols>
    <col min="1" max="7" width="10.5" bestFit="1" customWidth="1"/>
    <col min="9" max="9" width="9.09765625" bestFit="1" customWidth="1"/>
    <col min="10" max="10" width="7.19921875" bestFit="1" customWidth="1"/>
    <col min="11" max="11" width="4.796875" bestFit="1" customWidth="1"/>
    <col min="12" max="12" width="10.3984375" bestFit="1" customWidth="1"/>
    <col min="13" max="13" width="8.3984375" bestFit="1" customWidth="1"/>
    <col min="14" max="14" width="8.796875" bestFit="1" customWidth="1"/>
    <col min="15" max="15" width="10.5" bestFit="1" customWidth="1"/>
    <col min="16" max="16" width="13.8984375" bestFit="1" customWidth="1"/>
    <col min="17" max="17" width="13.796875" bestFit="1" customWidth="1"/>
    <col min="18" max="18" width="10.5" bestFit="1" customWidth="1"/>
    <col min="19" max="19" width="34" bestFit="1" customWidth="1"/>
    <col min="21" max="21" width="13.09765625" bestFit="1" customWidth="1"/>
    <col min="22" max="22" width="15.59765625" bestFit="1" customWidth="1"/>
    <col min="23" max="23" width="12.09765625" bestFit="1" customWidth="1"/>
  </cols>
  <sheetData>
    <row r="1" spans="1:27" ht="31.8" thickBot="1" x14ac:dyDescent="0.35">
      <c r="A1" t="s">
        <v>22</v>
      </c>
      <c r="B1" t="s">
        <v>0</v>
      </c>
      <c r="C1" t="s">
        <v>225</v>
      </c>
      <c r="D1" t="s">
        <v>6</v>
      </c>
      <c r="E1" t="s">
        <v>7</v>
      </c>
      <c r="F1" t="s">
        <v>8</v>
      </c>
      <c r="G1" t="s">
        <v>9</v>
      </c>
      <c r="I1" t="s">
        <v>221</v>
      </c>
      <c r="J1" t="s">
        <v>19</v>
      </c>
      <c r="K1" t="s">
        <v>20</v>
      </c>
      <c r="L1" t="s">
        <v>1</v>
      </c>
      <c r="M1" t="s">
        <v>2</v>
      </c>
      <c r="N1" t="s">
        <v>222</v>
      </c>
      <c r="P1" t="s">
        <v>203</v>
      </c>
      <c r="Q1" t="s">
        <v>204</v>
      </c>
      <c r="R1" t="s">
        <v>205</v>
      </c>
      <c r="T1" s="17" t="s">
        <v>4</v>
      </c>
      <c r="U1" s="17" t="s">
        <v>5</v>
      </c>
      <c r="V1" s="17" t="s">
        <v>0</v>
      </c>
      <c r="W1" s="17" t="s">
        <v>12</v>
      </c>
      <c r="X1" s="17" t="s">
        <v>6</v>
      </c>
      <c r="Y1" s="17" t="s">
        <v>7</v>
      </c>
      <c r="Z1" s="17" t="s">
        <v>8</v>
      </c>
      <c r="AA1" s="17" t="s">
        <v>9</v>
      </c>
    </row>
    <row r="2" spans="1:27" ht="16.2" thickBot="1" x14ac:dyDescent="0.35">
      <c r="A2">
        <v>1</v>
      </c>
      <c r="B2" s="31">
        <v>1.06</v>
      </c>
      <c r="C2" s="31" t="s">
        <v>176</v>
      </c>
      <c r="D2" s="31" t="s">
        <v>177</v>
      </c>
      <c r="E2" s="31" t="s">
        <v>207</v>
      </c>
      <c r="F2" s="31" t="s">
        <v>176</v>
      </c>
      <c r="G2" s="31" t="s">
        <v>176</v>
      </c>
      <c r="I2">
        <v>1</v>
      </c>
      <c r="J2">
        <v>1</v>
      </c>
      <c r="K2">
        <v>2</v>
      </c>
      <c r="L2" s="35">
        <v>1.9380000000000001E-2</v>
      </c>
      <c r="M2" s="35">
        <f>R8*$O$2</f>
        <v>5.9169999999999995E-3</v>
      </c>
      <c r="N2" s="41">
        <f>P8*$O$2</f>
        <v>2.64E-3</v>
      </c>
      <c r="O2" s="4">
        <v>9.9999999999999995E-7</v>
      </c>
      <c r="P2" s="18">
        <v>1</v>
      </c>
      <c r="Q2" s="32" t="s">
        <v>223</v>
      </c>
      <c r="R2" s="26">
        <v>0.97799999999999998</v>
      </c>
      <c r="T2" s="21">
        <v>1</v>
      </c>
      <c r="U2" s="21">
        <f>IF(C2=0,1,IF(OR(D2&gt;0,E2&lt;&gt;0),2,0))</f>
        <v>2</v>
      </c>
      <c r="V2" s="22">
        <f t="shared" ref="V2:AA2" si="0">B4</f>
        <v>1.01</v>
      </c>
      <c r="W2" s="22" t="str">
        <f t="shared" si="0"/>
        <v>-12.72</v>
      </c>
      <c r="X2" s="22" t="str">
        <f t="shared" si="0"/>
        <v>0.0</v>
      </c>
      <c r="Y2" s="22" t="str">
        <f t="shared" si="0"/>
        <v>23.4</v>
      </c>
      <c r="Z2" s="22" t="str">
        <f t="shared" si="0"/>
        <v>94.2</v>
      </c>
      <c r="AA2" s="22" t="str">
        <f t="shared" si="0"/>
        <v>19.0</v>
      </c>
    </row>
    <row r="3" spans="1:27" ht="16.2" thickBot="1" x14ac:dyDescent="0.35">
      <c r="A3">
        <v>2</v>
      </c>
      <c r="B3" s="31">
        <v>1.0449999999999999</v>
      </c>
      <c r="C3" s="31" t="s">
        <v>208</v>
      </c>
      <c r="D3" s="31" t="s">
        <v>178</v>
      </c>
      <c r="E3" s="31" t="s">
        <v>179</v>
      </c>
      <c r="F3" s="31" t="s">
        <v>180</v>
      </c>
      <c r="G3" s="31" t="s">
        <v>181</v>
      </c>
      <c r="I3">
        <v>2</v>
      </c>
      <c r="J3">
        <v>2</v>
      </c>
      <c r="K3">
        <v>3</v>
      </c>
      <c r="L3" s="35">
        <f>4699*0.000001</f>
        <v>4.6990000000000001E-3</v>
      </c>
      <c r="M3" s="35">
        <f>R9*$O$2</f>
        <v>1.9796999999999999E-2</v>
      </c>
      <c r="N3" s="41">
        <f t="shared" ref="N3:N21" si="1">P9*$O$2</f>
        <v>2.1900000000000001E-3</v>
      </c>
      <c r="P3" s="18">
        <v>2</v>
      </c>
      <c r="Q3" s="15" t="s">
        <v>224</v>
      </c>
      <c r="R3" s="26">
        <v>0.96899999999999997</v>
      </c>
      <c r="T3" s="21">
        <v>2</v>
      </c>
      <c r="U3" s="21">
        <f t="shared" ref="U3:U15" si="2">IF(C3=0,1,IF(OR(D3&gt;0,E3&lt;&gt;0),2,0))</f>
        <v>2</v>
      </c>
      <c r="V3" s="22">
        <f t="shared" ref="V3:AA12" si="3">B5</f>
        <v>1.0189999999999999</v>
      </c>
      <c r="W3" s="22" t="str">
        <f t="shared" si="3"/>
        <v>-10.33</v>
      </c>
      <c r="X3" s="22" t="str">
        <f t="shared" si="3"/>
        <v>0.0</v>
      </c>
      <c r="Y3" s="22" t="str">
        <f t="shared" si="3"/>
        <v>0.0</v>
      </c>
      <c r="Z3" s="22" t="str">
        <f t="shared" si="3"/>
        <v>47.8</v>
      </c>
      <c r="AA3" s="22" t="str">
        <f t="shared" si="3"/>
        <v>3.9</v>
      </c>
    </row>
    <row r="4" spans="1:27" ht="16.2" thickBot="1" x14ac:dyDescent="0.35">
      <c r="A4">
        <v>3</v>
      </c>
      <c r="B4" s="31">
        <v>1.01</v>
      </c>
      <c r="C4" s="31" t="s">
        <v>209</v>
      </c>
      <c r="D4" s="31" t="s">
        <v>176</v>
      </c>
      <c r="E4" s="31" t="s">
        <v>182</v>
      </c>
      <c r="F4" s="31" t="s">
        <v>183</v>
      </c>
      <c r="G4" s="31" t="s">
        <v>184</v>
      </c>
      <c r="I4">
        <v>3</v>
      </c>
      <c r="J4">
        <v>2</v>
      </c>
      <c r="K4">
        <v>4</v>
      </c>
      <c r="L4" s="35">
        <f>5811*$O$2</f>
        <v>5.8109999999999993E-3</v>
      </c>
      <c r="M4" s="35">
        <f t="shared" ref="M4:M21" si="4">R10*$O$2</f>
        <v>1.7631999999999998E-2</v>
      </c>
      <c r="N4" s="41">
        <f t="shared" si="1"/>
        <v>1.8699999999999999E-3</v>
      </c>
      <c r="P4" s="18">
        <v>3</v>
      </c>
      <c r="Q4" s="40" t="s">
        <v>206</v>
      </c>
      <c r="R4" s="26">
        <v>0.93200000000000005</v>
      </c>
      <c r="T4" s="21">
        <v>3</v>
      </c>
      <c r="U4" s="21">
        <f t="shared" si="2"/>
        <v>2</v>
      </c>
      <c r="V4" s="22">
        <f t="shared" si="3"/>
        <v>1.02</v>
      </c>
      <c r="W4" s="22" t="str">
        <f t="shared" si="3"/>
        <v>-8.78</v>
      </c>
      <c r="X4" s="22" t="str">
        <f t="shared" si="3"/>
        <v>0.0</v>
      </c>
      <c r="Y4" s="22" t="str">
        <f t="shared" si="3"/>
        <v>0.0</v>
      </c>
      <c r="Z4" s="22" t="str">
        <f t="shared" si="3"/>
        <v>7.6</v>
      </c>
      <c r="AA4" s="22" t="str">
        <f t="shared" si="3"/>
        <v>1.6</v>
      </c>
    </row>
    <row r="5" spans="1:27" ht="16.2" thickBot="1" x14ac:dyDescent="0.35">
      <c r="A5">
        <v>4</v>
      </c>
      <c r="B5" s="31">
        <v>1.0189999999999999</v>
      </c>
      <c r="C5" s="33" t="s">
        <v>210</v>
      </c>
      <c r="D5" s="31" t="s">
        <v>176</v>
      </c>
      <c r="E5" s="31" t="s">
        <v>176</v>
      </c>
      <c r="F5" s="31" t="s">
        <v>185</v>
      </c>
      <c r="G5" s="31" t="s">
        <v>186</v>
      </c>
      <c r="I5">
        <v>4</v>
      </c>
      <c r="J5">
        <v>1</v>
      </c>
      <c r="K5">
        <v>5</v>
      </c>
      <c r="L5" s="35">
        <f>5403*$O$2</f>
        <v>5.4029999999999998E-3</v>
      </c>
      <c r="M5" s="35">
        <f t="shared" si="4"/>
        <v>2.2303999999999997E-2</v>
      </c>
      <c r="N5" s="41">
        <f t="shared" si="1"/>
        <v>2.4599999999999999E-3</v>
      </c>
      <c r="T5" s="21">
        <v>4</v>
      </c>
      <c r="U5" s="21">
        <f t="shared" si="2"/>
        <v>2</v>
      </c>
      <c r="V5" s="22">
        <f t="shared" si="3"/>
        <v>1.07</v>
      </c>
      <c r="W5" s="22" t="str">
        <f t="shared" si="3"/>
        <v>-14.22</v>
      </c>
      <c r="X5" s="22" t="str">
        <f t="shared" si="3"/>
        <v>0.0</v>
      </c>
      <c r="Y5" s="22" t="str">
        <f t="shared" si="3"/>
        <v>12.2</v>
      </c>
      <c r="Z5" s="22" t="str">
        <f t="shared" si="3"/>
        <v>11.2</v>
      </c>
      <c r="AA5" s="22" t="str">
        <f t="shared" si="3"/>
        <v>7.5</v>
      </c>
    </row>
    <row r="6" spans="1:27" ht="16.2" thickBot="1" x14ac:dyDescent="0.35">
      <c r="A6">
        <v>5</v>
      </c>
      <c r="B6" s="31">
        <v>1.02</v>
      </c>
      <c r="C6" s="33" t="s">
        <v>211</v>
      </c>
      <c r="D6" s="31" t="s">
        <v>176</v>
      </c>
      <c r="E6" s="31" t="s">
        <v>176</v>
      </c>
      <c r="F6" s="31" t="s">
        <v>187</v>
      </c>
      <c r="G6" s="31" t="s">
        <v>188</v>
      </c>
      <c r="I6">
        <v>5</v>
      </c>
      <c r="J6">
        <v>2</v>
      </c>
      <c r="K6">
        <v>5</v>
      </c>
      <c r="L6" s="35">
        <f>Q8*$O$2</f>
        <v>5.6949999999999995E-3</v>
      </c>
      <c r="M6" s="35">
        <f t="shared" si="4"/>
        <v>1.7388000000000001E-2</v>
      </c>
      <c r="N6" s="41">
        <f t="shared" si="1"/>
        <v>1.6999999999999999E-3</v>
      </c>
      <c r="T6" s="21">
        <v>5</v>
      </c>
      <c r="U6" s="21">
        <f t="shared" si="2"/>
        <v>2</v>
      </c>
      <c r="V6" s="22">
        <f t="shared" si="3"/>
        <v>1.0620000000000001</v>
      </c>
      <c r="W6" s="22" t="str">
        <f t="shared" si="3"/>
        <v>-13.37</v>
      </c>
      <c r="X6" s="22" t="str">
        <f t="shared" si="3"/>
        <v>0.0</v>
      </c>
      <c r="Y6" s="22" t="str">
        <f t="shared" si="3"/>
        <v>0.0</v>
      </c>
      <c r="Z6" s="22" t="str">
        <f t="shared" si="3"/>
        <v>0.0</v>
      </c>
      <c r="AA6" s="22" t="str">
        <f t="shared" si="3"/>
        <v>0.0</v>
      </c>
    </row>
    <row r="7" spans="1:27" ht="16.2" thickBot="1" x14ac:dyDescent="0.35">
      <c r="A7">
        <v>6</v>
      </c>
      <c r="B7" s="31">
        <v>1.07</v>
      </c>
      <c r="C7" s="33" t="s">
        <v>212</v>
      </c>
      <c r="D7" s="31" t="s">
        <v>176</v>
      </c>
      <c r="E7" s="31" t="s">
        <v>189</v>
      </c>
      <c r="F7" s="31" t="s">
        <v>190</v>
      </c>
      <c r="G7" s="31" t="s">
        <v>191</v>
      </c>
      <c r="I7">
        <v>6</v>
      </c>
      <c r="J7">
        <v>3</v>
      </c>
      <c r="K7">
        <v>4</v>
      </c>
      <c r="L7" s="35">
        <f t="shared" ref="L7:L21" si="5">Q9*$O$2</f>
        <v>6.7009999999999995E-3</v>
      </c>
      <c r="M7" s="35">
        <f t="shared" si="4"/>
        <v>1.7103E-2</v>
      </c>
      <c r="N7" s="41">
        <f t="shared" si="1"/>
        <v>1.73E-3</v>
      </c>
      <c r="T7" s="21">
        <v>6</v>
      </c>
      <c r="U7" s="21">
        <f t="shared" si="2"/>
        <v>2</v>
      </c>
      <c r="V7" s="22">
        <f t="shared" si="3"/>
        <v>1.0900000000000001</v>
      </c>
      <c r="W7" s="22" t="str">
        <f t="shared" si="3"/>
        <v>-13.36</v>
      </c>
      <c r="X7" s="22" t="str">
        <f t="shared" si="3"/>
        <v>0.0</v>
      </c>
      <c r="Y7" s="22" t="str">
        <f t="shared" si="3"/>
        <v>17.4</v>
      </c>
      <c r="Z7" s="22" t="str">
        <f t="shared" si="3"/>
        <v>0.0</v>
      </c>
      <c r="AA7" s="22" t="str">
        <f t="shared" si="3"/>
        <v>0.0</v>
      </c>
    </row>
    <row r="8" spans="1:27" ht="16.2" thickBot="1" x14ac:dyDescent="0.35">
      <c r="A8">
        <v>7</v>
      </c>
      <c r="B8" s="31">
        <v>1.0620000000000001</v>
      </c>
      <c r="C8" s="33" t="s">
        <v>213</v>
      </c>
      <c r="D8" s="31" t="s">
        <v>176</v>
      </c>
      <c r="E8" s="31" t="s">
        <v>176</v>
      </c>
      <c r="F8" s="31" t="s">
        <v>176</v>
      </c>
      <c r="G8" s="31" t="s">
        <v>176</v>
      </c>
      <c r="I8">
        <v>7</v>
      </c>
      <c r="J8">
        <v>4</v>
      </c>
      <c r="K8">
        <v>5</v>
      </c>
      <c r="L8" s="35">
        <f t="shared" si="5"/>
        <v>1.335E-3</v>
      </c>
      <c r="M8" s="35">
        <f t="shared" si="4"/>
        <v>4.2109999999999995E-3</v>
      </c>
      <c r="N8" s="41">
        <f t="shared" si="1"/>
        <v>6.3999999999999997E-5</v>
      </c>
      <c r="P8" s="38">
        <v>2640</v>
      </c>
      <c r="Q8" s="36">
        <v>5695</v>
      </c>
      <c r="R8" s="38">
        <v>5917</v>
      </c>
      <c r="T8" s="21">
        <v>7</v>
      </c>
      <c r="U8" s="21">
        <f t="shared" si="2"/>
        <v>2</v>
      </c>
      <c r="V8" s="22">
        <f t="shared" si="3"/>
        <v>1.056</v>
      </c>
      <c r="W8" s="22" t="str">
        <f t="shared" si="3"/>
        <v>-14.94</v>
      </c>
      <c r="X8" s="22" t="str">
        <f t="shared" si="3"/>
        <v>0.0</v>
      </c>
      <c r="Y8" s="22" t="str">
        <f t="shared" si="3"/>
        <v>0.0</v>
      </c>
      <c r="Z8" s="22" t="str">
        <f t="shared" si="3"/>
        <v>29.5</v>
      </c>
      <c r="AA8" s="22" t="str">
        <f t="shared" si="3"/>
        <v>16.6</v>
      </c>
    </row>
    <row r="9" spans="1:27" ht="16.2" thickBot="1" x14ac:dyDescent="0.35">
      <c r="A9">
        <v>8</v>
      </c>
      <c r="B9" s="31">
        <v>1.0900000000000001</v>
      </c>
      <c r="C9" s="33" t="s">
        <v>214</v>
      </c>
      <c r="D9" s="31" t="s">
        <v>176</v>
      </c>
      <c r="E9" s="31" t="s">
        <v>192</v>
      </c>
      <c r="F9" s="31" t="s">
        <v>176</v>
      </c>
      <c r="G9" s="31" t="s">
        <v>176</v>
      </c>
      <c r="I9">
        <v>8</v>
      </c>
      <c r="J9">
        <v>5</v>
      </c>
      <c r="K9">
        <v>6</v>
      </c>
      <c r="L9" s="35">
        <f t="shared" si="5"/>
        <v>0</v>
      </c>
      <c r="M9" s="35">
        <f t="shared" si="4"/>
        <v>2.5201999999999999E-2</v>
      </c>
      <c r="N9" s="41">
        <f t="shared" si="1"/>
        <v>0</v>
      </c>
      <c r="P9" s="31">
        <v>2190</v>
      </c>
      <c r="Q9" s="35">
        <v>6701</v>
      </c>
      <c r="R9" s="31">
        <v>19797</v>
      </c>
      <c r="T9" s="21">
        <v>8</v>
      </c>
      <c r="U9" s="21">
        <f t="shared" si="2"/>
        <v>2</v>
      </c>
      <c r="V9" s="22">
        <f t="shared" si="3"/>
        <v>1.0509999999999999</v>
      </c>
      <c r="W9" s="22" t="str">
        <f t="shared" si="3"/>
        <v>-15.10</v>
      </c>
      <c r="X9" s="22" t="str">
        <f t="shared" si="3"/>
        <v>0.0</v>
      </c>
      <c r="Y9" s="22" t="str">
        <f t="shared" si="3"/>
        <v>0.0</v>
      </c>
      <c r="Z9" s="22" t="str">
        <f t="shared" si="3"/>
        <v>9.0</v>
      </c>
      <c r="AA9" s="22" t="str">
        <f t="shared" si="3"/>
        <v>5.8</v>
      </c>
    </row>
    <row r="10" spans="1:27" ht="16.2" thickBot="1" x14ac:dyDescent="0.35">
      <c r="A10">
        <v>9</v>
      </c>
      <c r="B10" s="31">
        <v>1.056</v>
      </c>
      <c r="C10" s="33" t="s">
        <v>215</v>
      </c>
      <c r="D10" s="31" t="s">
        <v>176</v>
      </c>
      <c r="E10" s="31" t="s">
        <v>176</v>
      </c>
      <c r="F10" s="31" t="s">
        <v>193</v>
      </c>
      <c r="G10" s="31" t="s">
        <v>194</v>
      </c>
      <c r="I10">
        <v>9</v>
      </c>
      <c r="J10">
        <v>4</v>
      </c>
      <c r="K10">
        <v>7</v>
      </c>
      <c r="L10" s="35">
        <f t="shared" si="5"/>
        <v>0</v>
      </c>
      <c r="M10" s="35">
        <f t="shared" si="4"/>
        <v>2.0912E-2</v>
      </c>
      <c r="N10" s="41">
        <f t="shared" si="1"/>
        <v>0</v>
      </c>
      <c r="P10" s="38">
        <v>1870</v>
      </c>
      <c r="Q10" s="36">
        <v>1335</v>
      </c>
      <c r="R10" s="38">
        <v>17632</v>
      </c>
      <c r="T10" s="21">
        <v>9</v>
      </c>
      <c r="U10" s="21">
        <f t="shared" si="2"/>
        <v>2</v>
      </c>
      <c r="V10" s="22">
        <f t="shared" si="3"/>
        <v>1.0569999999999999</v>
      </c>
      <c r="W10" s="22" t="str">
        <f t="shared" si="3"/>
        <v>-14.79</v>
      </c>
      <c r="X10" s="22" t="str">
        <f t="shared" si="3"/>
        <v>0.0</v>
      </c>
      <c r="Y10" s="22" t="str">
        <f t="shared" si="3"/>
        <v>0.0</v>
      </c>
      <c r="Z10" s="22" t="str">
        <f t="shared" si="3"/>
        <v>3.5</v>
      </c>
      <c r="AA10" s="22" t="str">
        <f t="shared" si="3"/>
        <v>1.8</v>
      </c>
    </row>
    <row r="11" spans="1:27" ht="16.2" thickBot="1" x14ac:dyDescent="0.35">
      <c r="A11">
        <v>10</v>
      </c>
      <c r="B11" s="31">
        <v>1.0509999999999999</v>
      </c>
      <c r="C11" s="33" t="s">
        <v>216</v>
      </c>
      <c r="D11" s="31" t="s">
        <v>176</v>
      </c>
      <c r="E11" s="31" t="s">
        <v>176</v>
      </c>
      <c r="F11" s="31" t="s">
        <v>195</v>
      </c>
      <c r="G11" s="31" t="s">
        <v>196</v>
      </c>
      <c r="I11">
        <v>10</v>
      </c>
      <c r="J11">
        <v>7</v>
      </c>
      <c r="K11">
        <v>8</v>
      </c>
      <c r="L11" s="35">
        <f t="shared" si="5"/>
        <v>0</v>
      </c>
      <c r="M11" s="35">
        <f t="shared" si="4"/>
        <v>1.7614999999999999E-2</v>
      </c>
      <c r="N11" s="41">
        <f t="shared" si="1"/>
        <v>0</v>
      </c>
      <c r="P11" s="31">
        <v>2460</v>
      </c>
      <c r="Q11" s="35">
        <v>0</v>
      </c>
      <c r="R11" s="31">
        <v>22304</v>
      </c>
      <c r="T11" s="21">
        <v>10</v>
      </c>
      <c r="U11" s="21">
        <f t="shared" si="2"/>
        <v>2</v>
      </c>
      <c r="V11" s="22">
        <f t="shared" si="3"/>
        <v>1.0549999999999999</v>
      </c>
      <c r="W11" s="22" t="str">
        <f t="shared" si="3"/>
        <v>-18.07</v>
      </c>
      <c r="X11" s="22" t="str">
        <f t="shared" si="3"/>
        <v>0.0</v>
      </c>
      <c r="Y11" s="22" t="str">
        <f t="shared" si="3"/>
        <v>0.0</v>
      </c>
      <c r="Z11" s="22" t="str">
        <f t="shared" si="3"/>
        <v>6.1</v>
      </c>
      <c r="AA11" s="22" t="str">
        <f t="shared" si="3"/>
        <v>1.6</v>
      </c>
    </row>
    <row r="12" spans="1:27" ht="16.2" thickBot="1" x14ac:dyDescent="0.35">
      <c r="A12">
        <v>11</v>
      </c>
      <c r="B12" s="31">
        <v>1.0569999999999999</v>
      </c>
      <c r="C12" s="33" t="s">
        <v>217</v>
      </c>
      <c r="D12" s="31" t="s">
        <v>176</v>
      </c>
      <c r="E12" s="31" t="s">
        <v>176</v>
      </c>
      <c r="F12" s="31" t="s">
        <v>197</v>
      </c>
      <c r="G12" s="31" t="s">
        <v>198</v>
      </c>
      <c r="I12">
        <v>11</v>
      </c>
      <c r="J12">
        <v>4</v>
      </c>
      <c r="K12">
        <v>9</v>
      </c>
      <c r="L12" s="35">
        <f t="shared" si="5"/>
        <v>0</v>
      </c>
      <c r="M12" s="35">
        <f t="shared" si="4"/>
        <v>5.5618000000000001E-2</v>
      </c>
      <c r="N12" s="41">
        <f t="shared" si="1"/>
        <v>0</v>
      </c>
      <c r="P12" s="38">
        <v>1700</v>
      </c>
      <c r="Q12" s="36">
        <v>0</v>
      </c>
      <c r="R12" s="38">
        <v>17388</v>
      </c>
      <c r="T12" s="21">
        <v>11</v>
      </c>
      <c r="U12" s="21">
        <f t="shared" si="2"/>
        <v>2</v>
      </c>
      <c r="V12" s="22">
        <f t="shared" si="3"/>
        <v>1.05</v>
      </c>
      <c r="W12" s="22" t="str">
        <f t="shared" si="3"/>
        <v>-15.16</v>
      </c>
      <c r="X12" s="22" t="str">
        <f t="shared" si="3"/>
        <v>0.0</v>
      </c>
      <c r="Y12" s="22" t="str">
        <f t="shared" si="3"/>
        <v>0.0</v>
      </c>
      <c r="Z12" s="22" t="str">
        <f t="shared" si="3"/>
        <v>13.5</v>
      </c>
      <c r="AA12" s="22" t="str">
        <f t="shared" si="3"/>
        <v>5.8</v>
      </c>
    </row>
    <row r="13" spans="1:27" ht="16.2" thickBot="1" x14ac:dyDescent="0.35">
      <c r="A13">
        <v>12</v>
      </c>
      <c r="B13" s="31">
        <v>1.0549999999999999</v>
      </c>
      <c r="C13" s="33" t="s">
        <v>218</v>
      </c>
      <c r="D13" s="31" t="s">
        <v>176</v>
      </c>
      <c r="E13" s="31" t="s">
        <v>176</v>
      </c>
      <c r="F13" s="31" t="s">
        <v>199</v>
      </c>
      <c r="G13" s="31" t="s">
        <v>188</v>
      </c>
      <c r="I13">
        <v>12</v>
      </c>
      <c r="J13">
        <v>7</v>
      </c>
      <c r="K13">
        <v>9</v>
      </c>
      <c r="L13" s="35">
        <f t="shared" si="5"/>
        <v>0</v>
      </c>
      <c r="M13" s="35">
        <f t="shared" si="4"/>
        <v>1.1001E-2</v>
      </c>
      <c r="N13" s="41">
        <f t="shared" si="1"/>
        <v>0</v>
      </c>
      <c r="P13" s="31">
        <v>1730</v>
      </c>
      <c r="Q13" s="35">
        <v>0</v>
      </c>
      <c r="R13" s="31">
        <v>17103</v>
      </c>
      <c r="T13" s="21">
        <v>12</v>
      </c>
      <c r="U13" s="21">
        <f t="shared" si="2"/>
        <v>2</v>
      </c>
      <c r="V13" s="22" t="e">
        <f>#REF!</f>
        <v>#REF!</v>
      </c>
      <c r="W13" s="22" t="e">
        <f>#REF!</f>
        <v>#REF!</v>
      </c>
      <c r="X13" s="22" t="e">
        <f>#REF!</f>
        <v>#REF!</v>
      </c>
      <c r="Y13" s="22" t="e">
        <f>#REF!</f>
        <v>#REF!</v>
      </c>
      <c r="Z13" s="22" t="e">
        <f>#REF!</f>
        <v>#REF!</v>
      </c>
      <c r="AA13" s="22" t="e">
        <f>#REF!</f>
        <v>#REF!</v>
      </c>
    </row>
    <row r="14" spans="1:27" ht="16.2" thickBot="1" x14ac:dyDescent="0.35">
      <c r="A14">
        <v>13</v>
      </c>
      <c r="B14" s="31">
        <v>1.05</v>
      </c>
      <c r="C14" s="33" t="s">
        <v>219</v>
      </c>
      <c r="D14" s="31" t="s">
        <v>176</v>
      </c>
      <c r="E14" s="31" t="s">
        <v>176</v>
      </c>
      <c r="F14" s="31" t="s">
        <v>200</v>
      </c>
      <c r="G14" s="31" t="s">
        <v>196</v>
      </c>
      <c r="I14">
        <v>13</v>
      </c>
      <c r="J14">
        <v>9</v>
      </c>
      <c r="K14">
        <v>10</v>
      </c>
      <c r="L14" s="35">
        <f t="shared" si="5"/>
        <v>3.1809999999999998E-3</v>
      </c>
      <c r="M14" s="35">
        <f t="shared" si="4"/>
        <v>8.4499999999999992E-3</v>
      </c>
      <c r="N14" s="41">
        <f t="shared" si="1"/>
        <v>0</v>
      </c>
      <c r="P14" s="38">
        <v>64</v>
      </c>
      <c r="Q14" s="36">
        <v>0</v>
      </c>
      <c r="R14" s="38">
        <v>4211</v>
      </c>
      <c r="T14" s="21">
        <v>13</v>
      </c>
      <c r="U14" s="21">
        <f t="shared" si="2"/>
        <v>2</v>
      </c>
      <c r="V14" s="22" t="e">
        <f>#REF!</f>
        <v>#REF!</v>
      </c>
      <c r="W14" s="22" t="e">
        <f>#REF!</f>
        <v>#REF!</v>
      </c>
      <c r="X14" s="22" t="e">
        <f>#REF!</f>
        <v>#REF!</v>
      </c>
      <c r="Y14" s="22" t="e">
        <f>#REF!</f>
        <v>#REF!</v>
      </c>
      <c r="Z14" s="22" t="e">
        <f>#REF!</f>
        <v>#REF!</v>
      </c>
      <c r="AA14" s="22" t="e">
        <f>#REF!</f>
        <v>#REF!</v>
      </c>
    </row>
    <row r="15" spans="1:27" ht="16.2" thickBot="1" x14ac:dyDescent="0.35">
      <c r="A15">
        <v>14</v>
      </c>
      <c r="B15" s="31">
        <v>1.036</v>
      </c>
      <c r="C15" s="33" t="s">
        <v>220</v>
      </c>
      <c r="D15" s="31" t="s">
        <v>176</v>
      </c>
      <c r="E15" s="31" t="s">
        <v>176</v>
      </c>
      <c r="F15" s="31" t="s">
        <v>201</v>
      </c>
      <c r="G15" s="31" t="s">
        <v>202</v>
      </c>
      <c r="I15">
        <v>14</v>
      </c>
      <c r="J15">
        <v>6</v>
      </c>
      <c r="K15">
        <v>11</v>
      </c>
      <c r="L15" s="35">
        <f t="shared" si="5"/>
        <v>9.4979999999999995E-3</v>
      </c>
      <c r="M15" s="35">
        <f t="shared" si="4"/>
        <v>1.9889999999999998E-2</v>
      </c>
      <c r="N15" s="41">
        <f t="shared" si="1"/>
        <v>0</v>
      </c>
      <c r="P15" s="31">
        <v>0</v>
      </c>
      <c r="Q15" s="35">
        <v>0</v>
      </c>
      <c r="R15" s="31">
        <v>25202</v>
      </c>
      <c r="T15" s="21">
        <v>14</v>
      </c>
      <c r="U15" s="21">
        <f t="shared" si="2"/>
        <v>2</v>
      </c>
      <c r="V15" s="24">
        <f t="shared" ref="V15:AA15" si="6">B15</f>
        <v>1.036</v>
      </c>
      <c r="W15" s="24" t="str">
        <f t="shared" si="6"/>
        <v>-16.04</v>
      </c>
      <c r="X15" s="24" t="str">
        <f t="shared" si="6"/>
        <v>0.0</v>
      </c>
      <c r="Y15" s="24" t="str">
        <f t="shared" si="6"/>
        <v>0.0</v>
      </c>
      <c r="Z15" s="24" t="str">
        <f t="shared" si="6"/>
        <v>14.9</v>
      </c>
      <c r="AA15" s="24" t="str">
        <f t="shared" si="6"/>
        <v>5.0</v>
      </c>
    </row>
    <row r="16" spans="1:27" x14ac:dyDescent="0.3">
      <c r="I16">
        <v>15</v>
      </c>
      <c r="J16">
        <v>6</v>
      </c>
      <c r="K16">
        <v>12</v>
      </c>
      <c r="L16" s="35">
        <f t="shared" si="5"/>
        <v>1.2291E-2</v>
      </c>
      <c r="M16" s="35">
        <f t="shared" si="4"/>
        <v>2.5581E-2</v>
      </c>
      <c r="N16" s="41">
        <f t="shared" si="1"/>
        <v>0</v>
      </c>
      <c r="P16" s="38">
        <v>0</v>
      </c>
      <c r="Q16" s="36">
        <v>3181</v>
      </c>
      <c r="R16" s="38">
        <v>20912</v>
      </c>
    </row>
    <row r="17" spans="3:18" x14ac:dyDescent="0.3">
      <c r="C17" s="31"/>
      <c r="I17">
        <v>16</v>
      </c>
      <c r="J17">
        <v>6</v>
      </c>
      <c r="K17">
        <v>13</v>
      </c>
      <c r="L17" s="35">
        <f t="shared" si="5"/>
        <v>6.6149999999999994E-3</v>
      </c>
      <c r="M17" s="35">
        <f t="shared" si="4"/>
        <v>1.3026999999999999E-2</v>
      </c>
      <c r="N17" s="41">
        <f t="shared" si="1"/>
        <v>0</v>
      </c>
      <c r="P17" s="31">
        <v>0</v>
      </c>
      <c r="Q17" s="35">
        <v>9498</v>
      </c>
      <c r="R17" s="31">
        <v>17615</v>
      </c>
    </row>
    <row r="18" spans="3:18" x14ac:dyDescent="0.3">
      <c r="I18">
        <v>17</v>
      </c>
      <c r="J18">
        <v>9</v>
      </c>
      <c r="K18">
        <v>14</v>
      </c>
      <c r="L18" s="35">
        <f t="shared" si="5"/>
        <v>1.2711E-2</v>
      </c>
      <c r="M18" s="35">
        <f t="shared" si="4"/>
        <v>2.7038E-2</v>
      </c>
      <c r="N18" s="41">
        <f t="shared" si="1"/>
        <v>0</v>
      </c>
      <c r="P18" s="38">
        <v>0</v>
      </c>
      <c r="Q18" s="36">
        <v>12291</v>
      </c>
      <c r="R18" s="38">
        <v>55618</v>
      </c>
    </row>
    <row r="19" spans="3:18" x14ac:dyDescent="0.3">
      <c r="C19" s="31"/>
      <c r="I19">
        <v>18</v>
      </c>
      <c r="J19">
        <v>10</v>
      </c>
      <c r="K19">
        <v>11</v>
      </c>
      <c r="L19" s="35">
        <f t="shared" si="5"/>
        <v>8.2050000000000005E-3</v>
      </c>
      <c r="M19" s="35">
        <f t="shared" si="4"/>
        <v>1.9206999999999998E-2</v>
      </c>
      <c r="N19" s="41">
        <f t="shared" si="1"/>
        <v>0</v>
      </c>
      <c r="P19" s="31">
        <v>0</v>
      </c>
      <c r="Q19" s="35">
        <v>6615</v>
      </c>
      <c r="R19" s="31">
        <v>11001</v>
      </c>
    </row>
    <row r="20" spans="3:18" x14ac:dyDescent="0.3">
      <c r="I20">
        <v>19</v>
      </c>
      <c r="J20">
        <v>12</v>
      </c>
      <c r="K20">
        <v>13</v>
      </c>
      <c r="L20" s="35">
        <f t="shared" si="5"/>
        <v>2.2092000000000001E-2</v>
      </c>
      <c r="M20" s="35">
        <f t="shared" si="4"/>
        <v>1.9987999999999999E-2</v>
      </c>
      <c r="N20" s="41">
        <f t="shared" si="1"/>
        <v>0</v>
      </c>
      <c r="P20" s="38">
        <v>0</v>
      </c>
      <c r="Q20" s="36">
        <v>12711</v>
      </c>
      <c r="R20" s="38">
        <v>8450</v>
      </c>
    </row>
    <row r="21" spans="3:18" x14ac:dyDescent="0.3">
      <c r="I21">
        <v>20</v>
      </c>
      <c r="J21">
        <v>13</v>
      </c>
      <c r="K21">
        <v>14</v>
      </c>
      <c r="L21" s="35">
        <f t="shared" si="5"/>
        <v>1.7093000000000001E-2</v>
      </c>
      <c r="M21" s="35">
        <f t="shared" si="4"/>
        <v>3.4802E-2</v>
      </c>
      <c r="N21" s="41">
        <f t="shared" si="1"/>
        <v>0</v>
      </c>
      <c r="P21" s="31">
        <v>0</v>
      </c>
      <c r="Q21" s="35">
        <v>8205</v>
      </c>
      <c r="R21" s="31">
        <v>19890</v>
      </c>
    </row>
    <row r="22" spans="3:18" x14ac:dyDescent="0.3">
      <c r="P22" s="38">
        <v>0</v>
      </c>
      <c r="Q22" s="36">
        <v>22092</v>
      </c>
      <c r="R22" s="38">
        <v>25581</v>
      </c>
    </row>
    <row r="23" spans="3:18" x14ac:dyDescent="0.3">
      <c r="P23" s="31">
        <v>0</v>
      </c>
      <c r="Q23" s="37">
        <v>17093</v>
      </c>
      <c r="R23" s="31">
        <v>13027</v>
      </c>
    </row>
    <row r="24" spans="3:18" x14ac:dyDescent="0.3">
      <c r="P24" s="38">
        <v>0</v>
      </c>
      <c r="R24" s="38">
        <v>27038</v>
      </c>
    </row>
    <row r="25" spans="3:18" x14ac:dyDescent="0.3">
      <c r="P25" s="31">
        <v>0</v>
      </c>
      <c r="R25" s="31">
        <v>19207</v>
      </c>
    </row>
    <row r="26" spans="3:18" x14ac:dyDescent="0.3">
      <c r="P26" s="38">
        <v>0</v>
      </c>
      <c r="R26" s="38">
        <v>19988</v>
      </c>
    </row>
    <row r="27" spans="3:18" x14ac:dyDescent="0.3">
      <c r="P27" s="39">
        <v>0</v>
      </c>
      <c r="R27" s="39">
        <v>34802</v>
      </c>
    </row>
  </sheetData>
  <phoneticPr fontId="6" type="noConversion"/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11EE6-1ED3-4E69-B3A2-D2AF095A4E46}">
  <dimension ref="A1:AJ22"/>
  <sheetViews>
    <sheetView zoomScale="93" workbookViewId="0">
      <selection activeCell="Y2" sqref="Y2"/>
    </sheetView>
  </sheetViews>
  <sheetFormatPr defaultRowHeight="15.6" x14ac:dyDescent="0.3"/>
  <cols>
    <col min="14" max="14" width="38" bestFit="1" customWidth="1"/>
    <col min="16" max="16" width="12.19921875" bestFit="1" customWidth="1"/>
  </cols>
  <sheetData>
    <row r="1" spans="1:36" ht="31.8" thickBot="1" x14ac:dyDescent="0.35">
      <c r="A1" s="76" t="s">
        <v>226</v>
      </c>
      <c r="B1" s="78" t="s">
        <v>227</v>
      </c>
      <c r="C1" s="79"/>
      <c r="D1" s="80" t="s">
        <v>228</v>
      </c>
      <c r="E1" s="81"/>
      <c r="F1" s="82" t="s">
        <v>229</v>
      </c>
      <c r="G1" s="83"/>
      <c r="I1" s="74" t="s">
        <v>235</v>
      </c>
      <c r="J1" s="84" t="s">
        <v>236</v>
      </c>
      <c r="K1" s="61"/>
      <c r="L1" s="72" t="s">
        <v>237</v>
      </c>
      <c r="M1" s="73"/>
      <c r="N1" s="74" t="s">
        <v>240</v>
      </c>
      <c r="R1" s="62" t="s">
        <v>241</v>
      </c>
      <c r="S1" s="62" t="s">
        <v>242</v>
      </c>
      <c r="T1" s="62" t="s">
        <v>243</v>
      </c>
      <c r="V1" s="17" t="s">
        <v>4</v>
      </c>
      <c r="W1" s="17" t="s">
        <v>5</v>
      </c>
      <c r="X1" s="17" t="s">
        <v>0</v>
      </c>
      <c r="Y1" s="17" t="s">
        <v>12</v>
      </c>
      <c r="Z1" s="17" t="s">
        <v>6</v>
      </c>
      <c r="AA1" s="17" t="s">
        <v>7</v>
      </c>
      <c r="AB1" s="17" t="s">
        <v>8</v>
      </c>
      <c r="AC1" s="17" t="s">
        <v>9</v>
      </c>
      <c r="AE1" s="27" t="s">
        <v>10</v>
      </c>
      <c r="AF1" s="27" t="s">
        <v>11</v>
      </c>
      <c r="AG1" s="27" t="s">
        <v>1</v>
      </c>
      <c r="AH1" s="27" t="s">
        <v>2</v>
      </c>
      <c r="AI1" s="28" t="s">
        <v>3</v>
      </c>
      <c r="AJ1" s="28" t="s">
        <v>21</v>
      </c>
    </row>
    <row r="2" spans="1:36" ht="47.4" thickBot="1" x14ac:dyDescent="0.35">
      <c r="A2" s="77"/>
      <c r="B2" s="42" t="s">
        <v>230</v>
      </c>
      <c r="C2" s="42" t="s">
        <v>231</v>
      </c>
      <c r="D2" s="43" t="s">
        <v>232</v>
      </c>
      <c r="E2" s="44" t="s">
        <v>233</v>
      </c>
      <c r="F2" s="45" t="s">
        <v>234</v>
      </c>
      <c r="G2" s="44" t="s">
        <v>233</v>
      </c>
      <c r="I2" s="75"/>
      <c r="J2" s="85"/>
      <c r="K2" s="50"/>
      <c r="L2" s="51" t="s">
        <v>238</v>
      </c>
      <c r="M2" s="52" t="s">
        <v>239</v>
      </c>
      <c r="N2" s="75"/>
      <c r="P2">
        <v>2</v>
      </c>
      <c r="R2" s="46">
        <v>1</v>
      </c>
      <c r="S2" s="53" t="s">
        <v>244</v>
      </c>
      <c r="T2" s="47">
        <v>0.97799999999999998</v>
      </c>
      <c r="V2" s="21">
        <v>1</v>
      </c>
      <c r="W2" s="21">
        <f>IF(C3=0,1,IF(OR(D3&gt;0,E3&lt;&gt;0),2,0))</f>
        <v>1</v>
      </c>
      <c r="X2" s="22">
        <f t="shared" ref="X2:AC2" si="0">B3</f>
        <v>1.06</v>
      </c>
      <c r="Y2" s="22">
        <f t="shared" si="0"/>
        <v>0</v>
      </c>
      <c r="Z2" s="22">
        <f t="shared" si="0"/>
        <v>232.4</v>
      </c>
      <c r="AA2" s="22">
        <f t="shared" si="0"/>
        <v>-16.899999999999999</v>
      </c>
      <c r="AB2" s="22">
        <f t="shared" si="0"/>
        <v>0</v>
      </c>
      <c r="AC2" s="22">
        <f t="shared" si="0"/>
        <v>0</v>
      </c>
      <c r="AE2" s="9">
        <f t="shared" ref="AE2:AI3" si="1">J3</f>
        <v>1</v>
      </c>
      <c r="AF2" s="5">
        <f t="shared" si="1"/>
        <v>2</v>
      </c>
      <c r="AG2" s="63">
        <f t="shared" si="1"/>
        <v>1.9380000000000001E-2</v>
      </c>
      <c r="AH2" s="63">
        <f t="shared" si="1"/>
        <v>5.917E-2</v>
      </c>
      <c r="AI2" s="63">
        <f t="shared" si="1"/>
        <v>5.28E-2</v>
      </c>
      <c r="AJ2" s="5">
        <v>1</v>
      </c>
    </row>
    <row r="3" spans="1:36" ht="16.2" thickBot="1" x14ac:dyDescent="0.35">
      <c r="A3" s="46">
        <v>1</v>
      </c>
      <c r="B3" s="47">
        <v>1.06</v>
      </c>
      <c r="C3" s="48">
        <v>0</v>
      </c>
      <c r="D3" s="48">
        <v>232.4</v>
      </c>
      <c r="E3" s="48">
        <v>-16.899999999999999</v>
      </c>
      <c r="F3" s="48">
        <v>0</v>
      </c>
      <c r="G3" s="48">
        <v>0</v>
      </c>
      <c r="I3" s="46">
        <v>1</v>
      </c>
      <c r="J3" s="53">
        <v>1</v>
      </c>
      <c r="K3" s="53">
        <v>2</v>
      </c>
      <c r="L3" s="54">
        <v>1.9380000000000001E-2</v>
      </c>
      <c r="M3" s="55">
        <v>5.917E-2</v>
      </c>
      <c r="N3" s="56">
        <f>P3*$P$2</f>
        <v>5.28E-2</v>
      </c>
      <c r="P3" s="56">
        <v>2.64E-2</v>
      </c>
      <c r="R3" s="46">
        <v>2</v>
      </c>
      <c r="S3" s="53" t="s">
        <v>245</v>
      </c>
      <c r="T3" s="47">
        <v>0.96899999999999997</v>
      </c>
      <c r="V3" s="21">
        <v>2</v>
      </c>
      <c r="W3" s="21">
        <f t="shared" ref="W3:W15" si="2">IF(C4=0,1,IF(OR(D4&gt;0,E4&lt;&gt;0),2,0))</f>
        <v>2</v>
      </c>
      <c r="X3" s="22">
        <f t="shared" ref="X3:X15" si="3">B4</f>
        <v>1.0449999999999999</v>
      </c>
      <c r="Y3" s="22">
        <f t="shared" ref="Y3:Y15" si="4">C4</f>
        <v>-4.9800000000000004</v>
      </c>
      <c r="Z3" s="22">
        <f t="shared" ref="Z3:Z15" si="5">D4</f>
        <v>40</v>
      </c>
      <c r="AA3" s="22">
        <f t="shared" ref="AA3:AA15" si="6">E4</f>
        <v>42.4</v>
      </c>
      <c r="AB3" s="22">
        <f t="shared" ref="AB3:AB15" si="7">F4</f>
        <v>21.7</v>
      </c>
      <c r="AC3" s="22">
        <f t="shared" ref="AC3:AC15" si="8">G4</f>
        <v>12.7</v>
      </c>
      <c r="AE3" s="9">
        <f t="shared" si="1"/>
        <v>2</v>
      </c>
      <c r="AF3" s="5">
        <f t="shared" si="1"/>
        <v>3</v>
      </c>
      <c r="AG3" s="63">
        <f t="shared" si="1"/>
        <v>4.6989999999999997E-2</v>
      </c>
      <c r="AH3" s="63">
        <f t="shared" si="1"/>
        <v>0.19797000000000001</v>
      </c>
      <c r="AI3" s="63">
        <f t="shared" si="1"/>
        <v>4.3799999999999999E-2</v>
      </c>
      <c r="AJ3" s="5">
        <v>1</v>
      </c>
    </row>
    <row r="4" spans="1:36" ht="16.2" thickBot="1" x14ac:dyDescent="0.35">
      <c r="A4" s="46">
        <v>2</v>
      </c>
      <c r="B4" s="47">
        <v>1.0449999999999999</v>
      </c>
      <c r="C4" s="49">
        <v>-4.9800000000000004</v>
      </c>
      <c r="D4" s="48">
        <v>40</v>
      </c>
      <c r="E4" s="48">
        <v>42.4</v>
      </c>
      <c r="F4" s="48">
        <v>21.7</v>
      </c>
      <c r="G4" s="48">
        <v>12.7</v>
      </c>
      <c r="I4" s="46">
        <v>2</v>
      </c>
      <c r="J4" s="53">
        <v>2</v>
      </c>
      <c r="K4" s="53">
        <v>3</v>
      </c>
      <c r="L4" s="54">
        <v>4.6989999999999997E-2</v>
      </c>
      <c r="M4" s="55">
        <v>0.19797000000000001</v>
      </c>
      <c r="N4" s="56">
        <f t="shared" ref="N4:N22" si="9">P4*$P$2</f>
        <v>4.3799999999999999E-2</v>
      </c>
      <c r="P4" s="56">
        <v>2.1899999999999999E-2</v>
      </c>
      <c r="R4" s="46">
        <v>3</v>
      </c>
      <c r="S4" s="53" t="s">
        <v>246</v>
      </c>
      <c r="T4" s="47">
        <v>0.93200000000000005</v>
      </c>
      <c r="V4" s="21">
        <v>3</v>
      </c>
      <c r="W4" s="21">
        <f t="shared" si="2"/>
        <v>2</v>
      </c>
      <c r="X4" s="22">
        <f t="shared" si="3"/>
        <v>1.01</v>
      </c>
      <c r="Y4" s="22">
        <f t="shared" si="4"/>
        <v>-12.72</v>
      </c>
      <c r="Z4" s="22">
        <f t="shared" si="5"/>
        <v>0</v>
      </c>
      <c r="AA4" s="22">
        <f t="shared" si="6"/>
        <v>23.4</v>
      </c>
      <c r="AB4" s="22">
        <f t="shared" si="7"/>
        <v>94.2</v>
      </c>
      <c r="AC4" s="22">
        <f t="shared" si="8"/>
        <v>19</v>
      </c>
      <c r="AE4" s="9">
        <f>J5</f>
        <v>2</v>
      </c>
      <c r="AF4" s="5">
        <f t="shared" ref="AF4:AF21" si="10">K5</f>
        <v>4</v>
      </c>
      <c r="AG4" s="63">
        <f t="shared" ref="AG4:AG21" si="11">L5</f>
        <v>5.8110000000000002E-2</v>
      </c>
      <c r="AH4" s="63">
        <f t="shared" ref="AH4:AH21" si="12">M5</f>
        <v>0.17632</v>
      </c>
      <c r="AI4" s="63">
        <f t="shared" ref="AI4:AI21" si="13">N5</f>
        <v>3.7400000000000003E-2</v>
      </c>
      <c r="AJ4" s="5">
        <v>1</v>
      </c>
    </row>
    <row r="5" spans="1:36" ht="16.2" thickBot="1" x14ac:dyDescent="0.35">
      <c r="A5" s="46">
        <v>3</v>
      </c>
      <c r="B5" s="47">
        <v>1.01</v>
      </c>
      <c r="C5" s="49">
        <v>-12.72</v>
      </c>
      <c r="D5" s="48">
        <v>0</v>
      </c>
      <c r="E5" s="48">
        <v>23.4</v>
      </c>
      <c r="F5" s="48">
        <v>94.2</v>
      </c>
      <c r="G5" s="48">
        <v>19</v>
      </c>
      <c r="I5" s="46">
        <v>3</v>
      </c>
      <c r="J5" s="53">
        <v>2</v>
      </c>
      <c r="K5" s="53">
        <v>4</v>
      </c>
      <c r="L5" s="54">
        <v>5.8110000000000002E-2</v>
      </c>
      <c r="M5" s="55">
        <v>0.17632</v>
      </c>
      <c r="N5" s="56">
        <f t="shared" si="9"/>
        <v>3.7400000000000003E-2</v>
      </c>
      <c r="P5" s="56">
        <v>1.8700000000000001E-2</v>
      </c>
      <c r="V5" s="21">
        <v>4</v>
      </c>
      <c r="W5" s="21">
        <f t="shared" si="2"/>
        <v>0</v>
      </c>
      <c r="X5" s="22">
        <f t="shared" si="3"/>
        <v>1.0189999999999999</v>
      </c>
      <c r="Y5" s="22">
        <f t="shared" si="4"/>
        <v>-10.33</v>
      </c>
      <c r="Z5" s="22">
        <f t="shared" si="5"/>
        <v>0</v>
      </c>
      <c r="AA5" s="22">
        <f t="shared" si="6"/>
        <v>0</v>
      </c>
      <c r="AB5" s="22">
        <f t="shared" si="7"/>
        <v>47.8</v>
      </c>
      <c r="AC5" s="22">
        <f t="shared" si="8"/>
        <v>3.9</v>
      </c>
      <c r="AE5" s="9">
        <f t="shared" ref="AE5:AE21" si="14">J6</f>
        <v>1</v>
      </c>
      <c r="AF5" s="5">
        <f t="shared" si="10"/>
        <v>5</v>
      </c>
      <c r="AG5" s="63">
        <f t="shared" si="11"/>
        <v>5.4030000000000002E-2</v>
      </c>
      <c r="AH5" s="63">
        <f t="shared" si="12"/>
        <v>0.22303999999999999</v>
      </c>
      <c r="AI5" s="63">
        <f t="shared" si="13"/>
        <v>4.9200000000000001E-2</v>
      </c>
      <c r="AJ5" s="5">
        <v>1</v>
      </c>
    </row>
    <row r="6" spans="1:36" ht="16.2" thickBot="1" x14ac:dyDescent="0.35">
      <c r="A6" s="46">
        <v>4</v>
      </c>
      <c r="B6" s="47">
        <v>1.0189999999999999</v>
      </c>
      <c r="C6" s="49">
        <v>-10.33</v>
      </c>
      <c r="D6" s="48">
        <v>0</v>
      </c>
      <c r="E6" s="48">
        <v>0</v>
      </c>
      <c r="F6" s="48">
        <v>47.8</v>
      </c>
      <c r="G6" s="48">
        <v>3.9</v>
      </c>
      <c r="I6" s="46">
        <v>4</v>
      </c>
      <c r="J6" s="53">
        <v>1</v>
      </c>
      <c r="K6" s="53">
        <v>5</v>
      </c>
      <c r="L6" s="54">
        <v>5.4030000000000002E-2</v>
      </c>
      <c r="M6" s="55">
        <v>0.22303999999999999</v>
      </c>
      <c r="N6" s="56">
        <f t="shared" si="9"/>
        <v>4.9200000000000001E-2</v>
      </c>
      <c r="P6" s="56">
        <v>2.46E-2</v>
      </c>
      <c r="V6" s="21">
        <v>5</v>
      </c>
      <c r="W6" s="21">
        <f t="shared" si="2"/>
        <v>0</v>
      </c>
      <c r="X6" s="22">
        <f t="shared" si="3"/>
        <v>1.02</v>
      </c>
      <c r="Y6" s="22">
        <f t="shared" si="4"/>
        <v>-8.7799999999999994</v>
      </c>
      <c r="Z6" s="22">
        <f t="shared" si="5"/>
        <v>0</v>
      </c>
      <c r="AA6" s="22">
        <f t="shared" si="6"/>
        <v>0</v>
      </c>
      <c r="AB6" s="22">
        <f t="shared" si="7"/>
        <v>7.6</v>
      </c>
      <c r="AC6" s="22">
        <f t="shared" si="8"/>
        <v>1.6</v>
      </c>
      <c r="AE6" s="9">
        <f t="shared" si="14"/>
        <v>2</v>
      </c>
      <c r="AF6" s="5">
        <f t="shared" si="10"/>
        <v>5</v>
      </c>
      <c r="AG6" s="63">
        <f t="shared" si="11"/>
        <v>5.6950000000000001E-2</v>
      </c>
      <c r="AH6" s="63">
        <f t="shared" si="12"/>
        <v>0.17388000000000001</v>
      </c>
      <c r="AI6" s="63">
        <f t="shared" si="13"/>
        <v>3.4000000000000002E-2</v>
      </c>
      <c r="AJ6" s="5">
        <v>1</v>
      </c>
    </row>
    <row r="7" spans="1:36" ht="16.2" thickBot="1" x14ac:dyDescent="0.35">
      <c r="A7" s="46">
        <v>5</v>
      </c>
      <c r="B7" s="47">
        <v>1.02</v>
      </c>
      <c r="C7" s="49">
        <v>-8.7799999999999994</v>
      </c>
      <c r="D7" s="48">
        <v>0</v>
      </c>
      <c r="E7" s="48">
        <v>0</v>
      </c>
      <c r="F7" s="48">
        <v>7.6</v>
      </c>
      <c r="G7" s="48">
        <v>1.6</v>
      </c>
      <c r="I7" s="46">
        <v>5</v>
      </c>
      <c r="J7" s="53">
        <v>2</v>
      </c>
      <c r="K7" s="53">
        <v>5</v>
      </c>
      <c r="L7" s="54">
        <v>5.6950000000000001E-2</v>
      </c>
      <c r="M7" s="55">
        <v>0.17388000000000001</v>
      </c>
      <c r="N7" s="56">
        <f t="shared" si="9"/>
        <v>3.4000000000000002E-2</v>
      </c>
      <c r="P7" s="56">
        <v>1.7000000000000001E-2</v>
      </c>
      <c r="V7" s="21">
        <v>6</v>
      </c>
      <c r="W7" s="21">
        <f t="shared" si="2"/>
        <v>2</v>
      </c>
      <c r="X7" s="22">
        <f t="shared" si="3"/>
        <v>1.07</v>
      </c>
      <c r="Y7" s="22">
        <f t="shared" si="4"/>
        <v>-14.22</v>
      </c>
      <c r="Z7" s="22">
        <f t="shared" si="5"/>
        <v>0</v>
      </c>
      <c r="AA7" s="22">
        <f t="shared" si="6"/>
        <v>12.2</v>
      </c>
      <c r="AB7" s="22">
        <f t="shared" si="7"/>
        <v>11.2</v>
      </c>
      <c r="AC7" s="22">
        <f t="shared" si="8"/>
        <v>7.5</v>
      </c>
      <c r="AE7" s="9">
        <f t="shared" si="14"/>
        <v>3</v>
      </c>
      <c r="AF7" s="5">
        <f t="shared" si="10"/>
        <v>4</v>
      </c>
      <c r="AG7" s="63">
        <f t="shared" si="11"/>
        <v>6.701E-2</v>
      </c>
      <c r="AH7" s="63">
        <f t="shared" si="12"/>
        <v>0.17102999999999999</v>
      </c>
      <c r="AI7" s="63">
        <f t="shared" si="13"/>
        <v>3.4599999999999999E-2</v>
      </c>
      <c r="AJ7" s="5">
        <v>1</v>
      </c>
    </row>
    <row r="8" spans="1:36" ht="16.2" thickBot="1" x14ac:dyDescent="0.35">
      <c r="A8" s="46">
        <v>6</v>
      </c>
      <c r="B8" s="47">
        <v>1.07</v>
      </c>
      <c r="C8" s="49">
        <v>-14.22</v>
      </c>
      <c r="D8" s="48">
        <v>0</v>
      </c>
      <c r="E8" s="48">
        <v>12.2</v>
      </c>
      <c r="F8" s="48">
        <v>11.2</v>
      </c>
      <c r="G8" s="48">
        <v>7.5</v>
      </c>
      <c r="I8" s="46">
        <v>6</v>
      </c>
      <c r="J8" s="53">
        <v>3</v>
      </c>
      <c r="K8" s="53">
        <v>4</v>
      </c>
      <c r="L8" s="54">
        <v>6.701E-2</v>
      </c>
      <c r="M8" s="55">
        <v>0.17102999999999999</v>
      </c>
      <c r="N8" s="56">
        <f t="shared" si="9"/>
        <v>3.4599999999999999E-2</v>
      </c>
      <c r="P8" s="56">
        <v>1.7299999999999999E-2</v>
      </c>
      <c r="V8" s="21">
        <v>7</v>
      </c>
      <c r="W8" s="21">
        <f t="shared" si="2"/>
        <v>0</v>
      </c>
      <c r="X8" s="22">
        <f t="shared" si="3"/>
        <v>1.0620000000000001</v>
      </c>
      <c r="Y8" s="22">
        <f t="shared" si="4"/>
        <v>-13.37</v>
      </c>
      <c r="Z8" s="22">
        <f t="shared" si="5"/>
        <v>0</v>
      </c>
      <c r="AA8" s="22">
        <f t="shared" si="6"/>
        <v>0</v>
      </c>
      <c r="AB8" s="22">
        <f t="shared" si="7"/>
        <v>0</v>
      </c>
      <c r="AC8" s="22">
        <f t="shared" si="8"/>
        <v>0</v>
      </c>
      <c r="AE8" s="9">
        <f t="shared" si="14"/>
        <v>4</v>
      </c>
      <c r="AF8" s="5">
        <f t="shared" si="10"/>
        <v>5</v>
      </c>
      <c r="AG8" s="63">
        <f t="shared" si="11"/>
        <v>1.3350000000000001E-2</v>
      </c>
      <c r="AH8" s="63">
        <f t="shared" si="12"/>
        <v>4.2110000000000002E-2</v>
      </c>
      <c r="AI8" s="63">
        <f t="shared" si="13"/>
        <v>1.2800000000000001E-2</v>
      </c>
      <c r="AJ8" s="5">
        <v>1</v>
      </c>
    </row>
    <row r="9" spans="1:36" ht="16.2" thickBot="1" x14ac:dyDescent="0.35">
      <c r="A9" s="46">
        <v>7</v>
      </c>
      <c r="B9" s="47">
        <v>1.0620000000000001</v>
      </c>
      <c r="C9" s="49">
        <v>-13.37</v>
      </c>
      <c r="D9" s="48">
        <v>0</v>
      </c>
      <c r="E9" s="48">
        <v>0</v>
      </c>
      <c r="F9" s="48">
        <v>0</v>
      </c>
      <c r="G9" s="48">
        <v>0</v>
      </c>
      <c r="I9" s="46">
        <v>7</v>
      </c>
      <c r="J9" s="53">
        <v>4</v>
      </c>
      <c r="K9" s="53">
        <v>5</v>
      </c>
      <c r="L9" s="54">
        <v>1.3350000000000001E-2</v>
      </c>
      <c r="M9" s="55">
        <v>4.2110000000000002E-2</v>
      </c>
      <c r="N9" s="56">
        <f t="shared" si="9"/>
        <v>1.2800000000000001E-2</v>
      </c>
      <c r="P9" s="57">
        <v>6.4000000000000003E-3</v>
      </c>
      <c r="V9" s="21">
        <v>8</v>
      </c>
      <c r="W9" s="21">
        <f t="shared" si="2"/>
        <v>2</v>
      </c>
      <c r="X9" s="22">
        <f t="shared" si="3"/>
        <v>1.0900000000000001</v>
      </c>
      <c r="Y9" s="22">
        <f t="shared" si="4"/>
        <v>-13.36</v>
      </c>
      <c r="Z9" s="22">
        <f t="shared" si="5"/>
        <v>0</v>
      </c>
      <c r="AA9" s="22">
        <f t="shared" si="6"/>
        <v>17.399999999999999</v>
      </c>
      <c r="AB9" s="22">
        <f t="shared" si="7"/>
        <v>0</v>
      </c>
      <c r="AC9" s="22">
        <f t="shared" si="8"/>
        <v>0</v>
      </c>
      <c r="AE9" s="9">
        <f t="shared" si="14"/>
        <v>5</v>
      </c>
      <c r="AF9" s="5">
        <f t="shared" si="10"/>
        <v>6</v>
      </c>
      <c r="AG9" s="63">
        <f t="shared" si="11"/>
        <v>0</v>
      </c>
      <c r="AH9" s="63">
        <f t="shared" si="12"/>
        <v>0.25202000000000002</v>
      </c>
      <c r="AI9" s="63">
        <f t="shared" si="13"/>
        <v>0</v>
      </c>
      <c r="AJ9" s="5">
        <v>0.93200000000000005</v>
      </c>
    </row>
    <row r="10" spans="1:36" ht="16.2" thickBot="1" x14ac:dyDescent="0.35">
      <c r="A10" s="46">
        <v>8</v>
      </c>
      <c r="B10" s="47">
        <v>1.0900000000000001</v>
      </c>
      <c r="C10" s="49">
        <v>-13.36</v>
      </c>
      <c r="D10" s="48">
        <v>0</v>
      </c>
      <c r="E10" s="48">
        <v>17.399999999999999</v>
      </c>
      <c r="F10" s="48">
        <v>0</v>
      </c>
      <c r="G10" s="48">
        <v>0</v>
      </c>
      <c r="I10" s="46">
        <v>8</v>
      </c>
      <c r="J10" s="53">
        <v>5</v>
      </c>
      <c r="K10" s="53">
        <v>6</v>
      </c>
      <c r="L10" s="58">
        <v>0</v>
      </c>
      <c r="M10" s="55">
        <v>0.25202000000000002</v>
      </c>
      <c r="N10" s="56">
        <f t="shared" si="9"/>
        <v>0</v>
      </c>
      <c r="P10" s="59">
        <v>0</v>
      </c>
      <c r="V10" s="21">
        <v>9</v>
      </c>
      <c r="W10" s="21">
        <f t="shared" si="2"/>
        <v>0</v>
      </c>
      <c r="X10" s="22">
        <f t="shared" si="3"/>
        <v>1.056</v>
      </c>
      <c r="Y10" s="22">
        <f t="shared" si="4"/>
        <v>-14.94</v>
      </c>
      <c r="Z10" s="22">
        <f t="shared" si="5"/>
        <v>0</v>
      </c>
      <c r="AA10" s="22">
        <f t="shared" si="6"/>
        <v>0</v>
      </c>
      <c r="AB10" s="22">
        <f t="shared" si="7"/>
        <v>29.5</v>
      </c>
      <c r="AC10" s="22">
        <f t="shared" si="8"/>
        <v>16.600000000000001</v>
      </c>
      <c r="AE10" s="9">
        <f t="shared" si="14"/>
        <v>4</v>
      </c>
      <c r="AF10" s="5">
        <f t="shared" si="10"/>
        <v>7</v>
      </c>
      <c r="AG10" s="63">
        <f t="shared" si="11"/>
        <v>0</v>
      </c>
      <c r="AH10" s="63">
        <f t="shared" si="12"/>
        <v>0.20912</v>
      </c>
      <c r="AI10" s="63">
        <f t="shared" si="13"/>
        <v>0</v>
      </c>
      <c r="AJ10" s="5">
        <v>0.97799999999999998</v>
      </c>
    </row>
    <row r="11" spans="1:36" ht="16.2" thickBot="1" x14ac:dyDescent="0.35">
      <c r="A11" s="46">
        <v>9</v>
      </c>
      <c r="B11" s="47">
        <v>1.056</v>
      </c>
      <c r="C11" s="49">
        <v>-14.94</v>
      </c>
      <c r="D11" s="48">
        <v>0</v>
      </c>
      <c r="E11" s="48">
        <v>0</v>
      </c>
      <c r="F11" s="48">
        <v>29.5</v>
      </c>
      <c r="G11" s="48">
        <v>16.600000000000001</v>
      </c>
      <c r="I11" s="46">
        <v>9</v>
      </c>
      <c r="J11" s="53">
        <v>4</v>
      </c>
      <c r="K11" s="53">
        <v>7</v>
      </c>
      <c r="L11" s="58">
        <v>0</v>
      </c>
      <c r="M11" s="55">
        <v>0.20912</v>
      </c>
      <c r="N11" s="56">
        <f t="shared" si="9"/>
        <v>0</v>
      </c>
      <c r="P11" s="59">
        <v>0</v>
      </c>
      <c r="V11" s="21">
        <v>10</v>
      </c>
      <c r="W11" s="21">
        <f t="shared" si="2"/>
        <v>0</v>
      </c>
      <c r="X11" s="22">
        <f t="shared" si="3"/>
        <v>1.0509999999999999</v>
      </c>
      <c r="Y11" s="22">
        <f t="shared" si="4"/>
        <v>-15.1</v>
      </c>
      <c r="Z11" s="22">
        <f t="shared" si="5"/>
        <v>0</v>
      </c>
      <c r="AA11" s="22">
        <f t="shared" si="6"/>
        <v>0</v>
      </c>
      <c r="AB11" s="22">
        <f t="shared" si="7"/>
        <v>9</v>
      </c>
      <c r="AC11" s="22">
        <f t="shared" si="8"/>
        <v>5.8</v>
      </c>
      <c r="AE11" s="9">
        <f t="shared" si="14"/>
        <v>7</v>
      </c>
      <c r="AF11" s="5">
        <f t="shared" si="10"/>
        <v>8</v>
      </c>
      <c r="AG11" s="63">
        <f t="shared" si="11"/>
        <v>0</v>
      </c>
      <c r="AH11" s="63">
        <f t="shared" si="12"/>
        <v>0.17615</v>
      </c>
      <c r="AI11" s="63">
        <f t="shared" si="13"/>
        <v>0</v>
      </c>
      <c r="AJ11" s="5">
        <v>1</v>
      </c>
    </row>
    <row r="12" spans="1:36" ht="16.2" thickBot="1" x14ac:dyDescent="0.35">
      <c r="A12" s="46">
        <v>10</v>
      </c>
      <c r="B12" s="47">
        <v>1.0509999999999999</v>
      </c>
      <c r="C12" s="49">
        <v>-15.1</v>
      </c>
      <c r="D12" s="48">
        <v>0</v>
      </c>
      <c r="E12" s="48">
        <v>0</v>
      </c>
      <c r="F12" s="48">
        <v>9</v>
      </c>
      <c r="G12" s="48">
        <v>5.8</v>
      </c>
      <c r="I12" s="46">
        <v>10</v>
      </c>
      <c r="J12" s="53">
        <v>7</v>
      </c>
      <c r="K12" s="53">
        <v>8</v>
      </c>
      <c r="L12" s="58">
        <v>0</v>
      </c>
      <c r="M12" s="55">
        <v>0.17615</v>
      </c>
      <c r="N12" s="56">
        <f t="shared" si="9"/>
        <v>0</v>
      </c>
      <c r="P12" s="59">
        <v>0</v>
      </c>
      <c r="V12" s="21">
        <v>11</v>
      </c>
      <c r="W12" s="21">
        <f t="shared" si="2"/>
        <v>0</v>
      </c>
      <c r="X12" s="22">
        <f t="shared" si="3"/>
        <v>1.0569999999999999</v>
      </c>
      <c r="Y12" s="22">
        <f t="shared" si="4"/>
        <v>-14.79</v>
      </c>
      <c r="Z12" s="22">
        <f t="shared" si="5"/>
        <v>0</v>
      </c>
      <c r="AA12" s="22">
        <f t="shared" si="6"/>
        <v>0</v>
      </c>
      <c r="AB12" s="22">
        <f t="shared" si="7"/>
        <v>3.5</v>
      </c>
      <c r="AC12" s="22">
        <f t="shared" si="8"/>
        <v>1.8</v>
      </c>
      <c r="AE12" s="9">
        <f t="shared" si="14"/>
        <v>4</v>
      </c>
      <c r="AF12" s="5">
        <f t="shared" si="10"/>
        <v>9</v>
      </c>
      <c r="AG12" s="63">
        <f t="shared" si="11"/>
        <v>0</v>
      </c>
      <c r="AH12" s="63">
        <f t="shared" si="12"/>
        <v>0.55618000000000001</v>
      </c>
      <c r="AI12" s="63">
        <f t="shared" si="13"/>
        <v>0</v>
      </c>
      <c r="AJ12" s="5">
        <v>0.96899999999999997</v>
      </c>
    </row>
    <row r="13" spans="1:36" ht="16.2" thickBot="1" x14ac:dyDescent="0.35">
      <c r="A13" s="46">
        <v>11</v>
      </c>
      <c r="B13" s="47">
        <v>1.0569999999999999</v>
      </c>
      <c r="C13" s="49">
        <v>-14.79</v>
      </c>
      <c r="D13" s="48">
        <v>0</v>
      </c>
      <c r="E13" s="48">
        <v>0</v>
      </c>
      <c r="F13" s="48">
        <v>3.5</v>
      </c>
      <c r="G13" s="48">
        <v>1.8</v>
      </c>
      <c r="I13" s="46">
        <v>11</v>
      </c>
      <c r="J13" s="53">
        <v>4</v>
      </c>
      <c r="K13" s="53">
        <v>9</v>
      </c>
      <c r="L13" s="58">
        <v>0</v>
      </c>
      <c r="M13" s="55">
        <v>0.55618000000000001</v>
      </c>
      <c r="N13" s="56">
        <f t="shared" si="9"/>
        <v>0</v>
      </c>
      <c r="P13" s="59">
        <v>0</v>
      </c>
      <c r="V13" s="21">
        <v>12</v>
      </c>
      <c r="W13" s="21">
        <f t="shared" si="2"/>
        <v>0</v>
      </c>
      <c r="X13" s="22">
        <f t="shared" si="3"/>
        <v>1.0549999999999999</v>
      </c>
      <c r="Y13" s="22">
        <f t="shared" si="4"/>
        <v>-18.07</v>
      </c>
      <c r="Z13" s="22">
        <f t="shared" si="5"/>
        <v>0</v>
      </c>
      <c r="AA13" s="22">
        <f t="shared" si="6"/>
        <v>0</v>
      </c>
      <c r="AB13" s="22">
        <f t="shared" si="7"/>
        <v>6.1</v>
      </c>
      <c r="AC13" s="22">
        <f t="shared" si="8"/>
        <v>1.6</v>
      </c>
      <c r="AE13" s="9">
        <f t="shared" si="14"/>
        <v>7</v>
      </c>
      <c r="AF13" s="5">
        <f t="shared" si="10"/>
        <v>9</v>
      </c>
      <c r="AG13" s="63">
        <f t="shared" si="11"/>
        <v>0</v>
      </c>
      <c r="AH13" s="63">
        <f t="shared" si="12"/>
        <v>0.11001</v>
      </c>
      <c r="AI13" s="63">
        <f t="shared" si="13"/>
        <v>0</v>
      </c>
      <c r="AJ13" s="5">
        <v>1</v>
      </c>
    </row>
    <row r="14" spans="1:36" ht="16.2" thickBot="1" x14ac:dyDescent="0.35">
      <c r="A14" s="46">
        <v>12</v>
      </c>
      <c r="B14" s="47">
        <v>1.0549999999999999</v>
      </c>
      <c r="C14" s="49">
        <v>-18.07</v>
      </c>
      <c r="D14" s="48">
        <v>0</v>
      </c>
      <c r="E14" s="48">
        <v>0</v>
      </c>
      <c r="F14" s="48">
        <v>6.1</v>
      </c>
      <c r="G14" s="48">
        <v>1.6</v>
      </c>
      <c r="I14" s="46">
        <v>12</v>
      </c>
      <c r="J14" s="53">
        <v>7</v>
      </c>
      <c r="K14" s="53">
        <v>9</v>
      </c>
      <c r="L14" s="58">
        <v>0</v>
      </c>
      <c r="M14" s="55">
        <v>0.11001</v>
      </c>
      <c r="N14" s="56">
        <f t="shared" si="9"/>
        <v>0</v>
      </c>
      <c r="P14" s="59">
        <v>0</v>
      </c>
      <c r="V14" s="21">
        <v>13</v>
      </c>
      <c r="W14" s="21">
        <f t="shared" si="2"/>
        <v>0</v>
      </c>
      <c r="X14" s="22">
        <f t="shared" si="3"/>
        <v>1.05</v>
      </c>
      <c r="Y14" s="22">
        <f t="shared" si="4"/>
        <v>-15.16</v>
      </c>
      <c r="Z14" s="22">
        <f t="shared" si="5"/>
        <v>0</v>
      </c>
      <c r="AA14" s="22">
        <f t="shared" si="6"/>
        <v>0</v>
      </c>
      <c r="AB14" s="22">
        <f t="shared" si="7"/>
        <v>13.5</v>
      </c>
      <c r="AC14" s="22">
        <f t="shared" si="8"/>
        <v>5.8</v>
      </c>
      <c r="AE14" s="9">
        <f t="shared" si="14"/>
        <v>9</v>
      </c>
      <c r="AF14" s="5">
        <f t="shared" si="10"/>
        <v>10</v>
      </c>
      <c r="AG14" s="63">
        <f t="shared" si="11"/>
        <v>3.1809999999999998E-2</v>
      </c>
      <c r="AH14" s="63">
        <f t="shared" si="12"/>
        <v>8.4500000000000006E-2</v>
      </c>
      <c r="AI14" s="63">
        <f t="shared" si="13"/>
        <v>0</v>
      </c>
      <c r="AJ14" s="5">
        <v>1</v>
      </c>
    </row>
    <row r="15" spans="1:36" ht="16.2" thickBot="1" x14ac:dyDescent="0.35">
      <c r="A15" s="46">
        <v>13</v>
      </c>
      <c r="B15" s="47">
        <v>1.05</v>
      </c>
      <c r="C15" s="49">
        <v>-15.16</v>
      </c>
      <c r="D15" s="48">
        <v>0</v>
      </c>
      <c r="E15" s="48">
        <v>0</v>
      </c>
      <c r="F15" s="48">
        <v>13.5</v>
      </c>
      <c r="G15" s="48">
        <v>5.8</v>
      </c>
      <c r="I15" s="46">
        <v>13</v>
      </c>
      <c r="J15" s="53">
        <v>9</v>
      </c>
      <c r="K15" s="53">
        <v>10</v>
      </c>
      <c r="L15" s="54">
        <v>3.1809999999999998E-2</v>
      </c>
      <c r="M15" s="55">
        <v>8.4500000000000006E-2</v>
      </c>
      <c r="N15" s="56">
        <f t="shared" si="9"/>
        <v>0</v>
      </c>
      <c r="P15" s="59">
        <v>0</v>
      </c>
      <c r="V15" s="21">
        <v>14</v>
      </c>
      <c r="W15" s="21">
        <f t="shared" si="2"/>
        <v>0</v>
      </c>
      <c r="X15" s="22">
        <f t="shared" si="3"/>
        <v>1.036</v>
      </c>
      <c r="Y15" s="22">
        <f t="shared" si="4"/>
        <v>-16.04</v>
      </c>
      <c r="Z15" s="22">
        <f t="shared" si="5"/>
        <v>0</v>
      </c>
      <c r="AA15" s="22">
        <f t="shared" si="6"/>
        <v>0</v>
      </c>
      <c r="AB15" s="22">
        <f t="shared" si="7"/>
        <v>14.9</v>
      </c>
      <c r="AC15" s="22">
        <f t="shared" si="8"/>
        <v>5</v>
      </c>
      <c r="AE15" s="9">
        <f t="shared" si="14"/>
        <v>6</v>
      </c>
      <c r="AF15" s="5">
        <f t="shared" si="10"/>
        <v>11</v>
      </c>
      <c r="AG15" s="63">
        <f t="shared" si="11"/>
        <v>9.4979999999999995E-2</v>
      </c>
      <c r="AH15" s="63">
        <f t="shared" si="12"/>
        <v>0.19889999999999999</v>
      </c>
      <c r="AI15" s="63">
        <f t="shared" si="13"/>
        <v>0</v>
      </c>
      <c r="AJ15" s="5">
        <v>1</v>
      </c>
    </row>
    <row r="16" spans="1:36" x14ac:dyDescent="0.3">
      <c r="A16" s="46">
        <v>14</v>
      </c>
      <c r="B16" s="47">
        <v>1.036</v>
      </c>
      <c r="C16" s="49">
        <v>-16.04</v>
      </c>
      <c r="D16" s="48">
        <v>0</v>
      </c>
      <c r="E16" s="48">
        <v>0</v>
      </c>
      <c r="F16" s="48">
        <v>14.9</v>
      </c>
      <c r="G16" s="48">
        <v>5</v>
      </c>
      <c r="I16" s="46">
        <v>14</v>
      </c>
      <c r="J16" s="53">
        <v>6</v>
      </c>
      <c r="K16" s="53">
        <v>11</v>
      </c>
      <c r="L16" s="54">
        <v>9.4979999999999995E-2</v>
      </c>
      <c r="M16" s="55">
        <v>0.19889999999999999</v>
      </c>
      <c r="N16" s="56">
        <f t="shared" si="9"/>
        <v>0</v>
      </c>
      <c r="P16" s="59">
        <v>0</v>
      </c>
      <c r="AE16" s="9">
        <f t="shared" si="14"/>
        <v>6</v>
      </c>
      <c r="AF16" s="5">
        <f t="shared" si="10"/>
        <v>12</v>
      </c>
      <c r="AG16" s="63">
        <f t="shared" si="11"/>
        <v>0.12291000000000001</v>
      </c>
      <c r="AH16" s="63">
        <f t="shared" si="12"/>
        <v>0.25580999999999998</v>
      </c>
      <c r="AI16" s="63">
        <f t="shared" si="13"/>
        <v>0</v>
      </c>
      <c r="AJ16" s="5">
        <v>1</v>
      </c>
    </row>
    <row r="17" spans="5:36" x14ac:dyDescent="0.3">
      <c r="I17" s="46">
        <v>15</v>
      </c>
      <c r="J17" s="53">
        <v>6</v>
      </c>
      <c r="K17" s="53">
        <v>12</v>
      </c>
      <c r="L17" s="54">
        <v>0.12291000000000001</v>
      </c>
      <c r="M17" s="55">
        <v>0.25580999999999998</v>
      </c>
      <c r="N17" s="56">
        <f t="shared" si="9"/>
        <v>0</v>
      </c>
      <c r="P17" s="59">
        <v>0</v>
      </c>
      <c r="AE17" s="9">
        <f t="shared" si="14"/>
        <v>6</v>
      </c>
      <c r="AF17" s="5">
        <f t="shared" si="10"/>
        <v>13</v>
      </c>
      <c r="AG17" s="63">
        <f t="shared" si="11"/>
        <v>6.615E-2</v>
      </c>
      <c r="AH17" s="63">
        <f t="shared" si="12"/>
        <v>0.13027</v>
      </c>
      <c r="AI17" s="63">
        <f t="shared" si="13"/>
        <v>0</v>
      </c>
      <c r="AJ17" s="5">
        <v>1</v>
      </c>
    </row>
    <row r="18" spans="5:36" x14ac:dyDescent="0.3">
      <c r="E18" s="34"/>
      <c r="I18" s="46">
        <v>16</v>
      </c>
      <c r="J18" s="53">
        <v>6</v>
      </c>
      <c r="K18" s="53">
        <v>13</v>
      </c>
      <c r="L18" s="54">
        <v>6.615E-2</v>
      </c>
      <c r="M18" s="55">
        <v>0.13027</v>
      </c>
      <c r="N18" s="56">
        <f t="shared" si="9"/>
        <v>0</v>
      </c>
      <c r="P18" s="59">
        <v>0</v>
      </c>
      <c r="AE18" s="9">
        <f t="shared" si="14"/>
        <v>9</v>
      </c>
      <c r="AF18" s="5">
        <f t="shared" si="10"/>
        <v>14</v>
      </c>
      <c r="AG18" s="63">
        <f t="shared" si="11"/>
        <v>0.12711</v>
      </c>
      <c r="AH18" s="63">
        <f t="shared" si="12"/>
        <v>0.27038000000000001</v>
      </c>
      <c r="AI18" s="63">
        <f t="shared" si="13"/>
        <v>0</v>
      </c>
      <c r="AJ18" s="5">
        <v>1</v>
      </c>
    </row>
    <row r="19" spans="5:36" x14ac:dyDescent="0.3">
      <c r="I19" s="46">
        <v>17</v>
      </c>
      <c r="J19" s="53">
        <v>9</v>
      </c>
      <c r="K19" s="53">
        <v>14</v>
      </c>
      <c r="L19" s="54">
        <v>0.12711</v>
      </c>
      <c r="M19" s="55">
        <v>0.27038000000000001</v>
      </c>
      <c r="N19" s="56">
        <f t="shared" si="9"/>
        <v>0</v>
      </c>
      <c r="P19" s="59">
        <v>0</v>
      </c>
      <c r="AE19" s="9">
        <f t="shared" si="14"/>
        <v>10</v>
      </c>
      <c r="AF19" s="5">
        <f t="shared" si="10"/>
        <v>11</v>
      </c>
      <c r="AG19" s="63">
        <f t="shared" si="11"/>
        <v>0.82050000000000001</v>
      </c>
      <c r="AH19" s="63">
        <f t="shared" si="12"/>
        <v>0.19206999999999999</v>
      </c>
      <c r="AI19" s="63">
        <f t="shared" si="13"/>
        <v>0</v>
      </c>
      <c r="AJ19" s="5">
        <v>1</v>
      </c>
    </row>
    <row r="20" spans="5:36" x14ac:dyDescent="0.3">
      <c r="I20" s="46">
        <v>18</v>
      </c>
      <c r="J20" s="53">
        <v>10</v>
      </c>
      <c r="K20" s="53">
        <v>11</v>
      </c>
      <c r="L20" s="60">
        <v>0.82050000000000001</v>
      </c>
      <c r="M20" s="55">
        <v>0.19206999999999999</v>
      </c>
      <c r="N20" s="56">
        <f t="shared" si="9"/>
        <v>0</v>
      </c>
      <c r="P20" s="59">
        <v>0</v>
      </c>
      <c r="AE20" s="9">
        <f t="shared" si="14"/>
        <v>12</v>
      </c>
      <c r="AF20" s="5">
        <f t="shared" si="10"/>
        <v>13</v>
      </c>
      <c r="AG20" s="63">
        <f t="shared" si="11"/>
        <v>0.22092000000000001</v>
      </c>
      <c r="AH20" s="63">
        <f t="shared" si="12"/>
        <v>0.19988</v>
      </c>
      <c r="AI20" s="63">
        <f t="shared" si="13"/>
        <v>0</v>
      </c>
      <c r="AJ20" s="5">
        <v>1</v>
      </c>
    </row>
    <row r="21" spans="5:36" x14ac:dyDescent="0.3">
      <c r="I21" s="46">
        <v>19</v>
      </c>
      <c r="J21" s="53">
        <v>12</v>
      </c>
      <c r="K21" s="53">
        <v>13</v>
      </c>
      <c r="L21" s="54">
        <v>0.22092000000000001</v>
      </c>
      <c r="M21" s="55">
        <v>0.19988</v>
      </c>
      <c r="N21" s="56">
        <f t="shared" si="9"/>
        <v>0</v>
      </c>
      <c r="P21" s="59">
        <v>0</v>
      </c>
      <c r="AE21" s="9">
        <f t="shared" si="14"/>
        <v>13</v>
      </c>
      <c r="AF21" s="5">
        <f t="shared" si="10"/>
        <v>14</v>
      </c>
      <c r="AG21" s="63">
        <f t="shared" si="11"/>
        <v>0.17093</v>
      </c>
      <c r="AH21" s="63">
        <f t="shared" si="12"/>
        <v>0.34802</v>
      </c>
      <c r="AI21" s="63">
        <f t="shared" si="13"/>
        <v>0</v>
      </c>
      <c r="AJ21" s="5">
        <v>1</v>
      </c>
    </row>
    <row r="22" spans="5:36" x14ac:dyDescent="0.3">
      <c r="I22" s="46">
        <v>20</v>
      </c>
      <c r="J22" s="53">
        <v>13</v>
      </c>
      <c r="K22" s="53">
        <v>14</v>
      </c>
      <c r="L22" s="54">
        <v>0.17093</v>
      </c>
      <c r="M22" s="55">
        <v>0.34802</v>
      </c>
      <c r="N22" s="56">
        <f t="shared" si="9"/>
        <v>0</v>
      </c>
      <c r="P22" s="59">
        <v>0</v>
      </c>
    </row>
  </sheetData>
  <mergeCells count="8">
    <mergeCell ref="L1:M1"/>
    <mergeCell ref="N1:N2"/>
    <mergeCell ref="A1:A2"/>
    <mergeCell ref="B1:C1"/>
    <mergeCell ref="D1:E1"/>
    <mergeCell ref="F1:G1"/>
    <mergeCell ref="I1:I2"/>
    <mergeCell ref="J1:J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6DE25A-BC8E-4A97-8D36-43BF7EF973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Barras</vt:lpstr>
      <vt:lpstr>Linhas</vt:lpstr>
      <vt:lpstr>Ohms2Pu</vt:lpstr>
      <vt:lpstr>Planilha2</vt:lpstr>
      <vt:lpstr>Planilha3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Guimarães Diláscio</dc:creator>
  <cp:lastModifiedBy>Eduardo Guimarães Diláscio</cp:lastModifiedBy>
  <dcterms:created xsi:type="dcterms:W3CDTF">2026-05-18T14:30:32Z</dcterms:created>
  <dcterms:modified xsi:type="dcterms:W3CDTF">2026-05-27T14:39:52Z</dcterms:modified>
</cp:coreProperties>
</file>